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d4de8d48d9bd4838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Instruções" sheetId="1" r:id="R8c5d7f9c5ecf48ba"/>
    <x:sheet xmlns:r="http://schemas.openxmlformats.org/officeDocument/2006/relationships" name="Catálogo" sheetId="2" r:id="R02261a9f852544d2"/>
    <x:sheet xmlns:r="http://schemas.openxmlformats.org/officeDocument/2006/relationships" name="Fichas" sheetId="3" r:id="Rb12d8f16a047487e"/>
    <x:sheet xmlns:r="http://schemas.openxmlformats.org/officeDocument/2006/relationships" name="Composição" sheetId="4" r:id="Ra1cc9164b1234ca6"/>
    <x:sheet xmlns:r="http://schemas.openxmlformats.org/officeDocument/2006/relationships" name="Precificação" sheetId="5" r:id="R9fd2efc866b8403d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2">
    <x:numFmt numFmtId="200" formatCode="0.0%"/>
    <x:numFmt numFmtId="201" formatCode="&quot;R$&quot; #,##0.00"/>
  </x:numFmts>
  <x:fonts count="13">
    <x:font>
      <x:sz val="11"/>
      <x:name val="Carlito"/>
    </x:font>
    <x:font>
      <x:sz val="11"/>
      <x:name val="Arial"/>
    </x:font>
    <x:font>
      <x:sz val="10"/>
      <x:name val="Arial"/>
    </x:font>
    <x:font>
      <x:sz val="10"/>
      <x:color rgb="FF24304A"/>
      <x:name val="Arial"/>
    </x:font>
    <x:font>
      <x:b/>
      <x:sz val="10"/>
      <x:color rgb="FF24304A"/>
      <x:name val="Arial"/>
    </x:font>
    <x:font>
      <x:b/>
      <x:sz val="15"/>
      <x:color rgb="FF24304A"/>
      <x:name val="Arial"/>
    </x:font>
    <x:font>
      <x:b/>
      <x:sz val="15"/>
      <x:color rgb="FF07266F"/>
      <x:name val="Arial"/>
    </x:font>
    <x:font>
      <x:i/>
      <x:sz val="10"/>
      <x:color rgb="FF24304A"/>
      <x:name val="Arial"/>
    </x:font>
    <x:font>
      <x:i/>
      <x:sz val="9"/>
      <x:color rgb="FF24304A"/>
      <x:name val="Arial"/>
    </x:font>
    <x:font>
      <x:b/>
      <x:sz val="10"/>
      <x:color rgb="FF07266F"/>
      <x:name val="Arial"/>
    </x:font>
    <x:font>
      <x:b/>
      <x:sz val="10"/>
      <x:color rgb="FFFF1B8C"/>
      <x:name val="Arial"/>
    </x:font>
    <x:font>
      <x:sz val="10"/>
      <x:color rgb="FFFFFFFF"/>
      <x:name val="Arial"/>
    </x:font>
    <x:font>
      <x:b/>
      <x:sz val="10"/>
      <x:color rgb="FFFFFFFF"/>
      <x:name val="Arial"/>
    </x:font>
  </x:fonts>
  <x:fills count="6">
    <x:fill>
      <x:patternFill patternType="none"/>
    </x:fill>
    <x:fill>
      <x:patternFill patternType="gray125"/>
    </x:fill>
    <x:fill>
      <x:patternFill patternType="solid">
        <x:fgColor rgb="FF07266F"/>
      </x:patternFill>
    </x:fill>
    <x:fill>
      <x:patternFill patternType="solid">
        <x:fgColor rgb="FFFFF1F8"/>
      </x:patternFill>
    </x:fill>
    <x:fill>
      <x:patternFill patternType="solid">
        <x:fgColor rgb="FFFFF9E9"/>
      </x:patternFill>
    </x:fill>
    <x:fill>
      <x:patternFill patternType="solid">
        <x:fgColor rgb="FFE9EEF5"/>
      </x:patternFill>
    </x:fill>
  </x:fills>
  <x:borders count="2">
    <x:border/>
    <x:border>
      <x:bottom style="medium">
        <x:color rgb="FFFF1B8C"/>
      </x:bottom>
    </x:border>
  </x:borders>
  <x:cellStyleXfs count="1">
    <x:xf numFmtId="0" fontId="0" fillId="0" borderId="0"/>
  </x:cellStyleXfs>
  <x:cellXfs count="26">
    <x:xf numFmtId="0" fontId="0" fillId="0" borderId="0" xfId="0"/>
    <x:xf numFmtId="0" fontId="1" fillId="0" borderId="0" xfId="0" applyNumberFormat="1" applyFont="1" applyFill="1" applyBorder="1"/>
    <x:xf numFmtId="0" fontId="2" fillId="0" borderId="0" xfId="0" applyNumberFormat="1" applyFont="1" applyFill="1" applyBorder="1"/>
    <x:xf numFmtId="0" fontId="3" fillId="0" borderId="0" xfId="0" applyNumberFormat="1" applyFont="1" applyFill="1" applyBorder="1"/>
    <x:xf numFmtId="0" fontId="4" fillId="0" borderId="0" xfId="0" applyNumberFormat="1" applyFont="1" applyFill="1" applyBorder="1"/>
    <x:xf numFmtId="0" fontId="5" fillId="0" borderId="0" xfId="0" applyNumberFormat="1" applyFont="1" applyFill="1" applyBorder="1"/>
    <x:xf numFmtId="0" fontId="6" fillId="0" borderId="0" xfId="0" applyNumberFormat="1" applyFont="1" applyFill="1" applyBorder="1"/>
    <x:xf numFmtId="0" fontId="7" fillId="0" borderId="0" xfId="0" applyNumberFormat="1" applyFont="1" applyFill="1" applyBorder="1"/>
    <x:xf numFmtId="0" fontId="8" fillId="0" borderId="0" xfId="0" applyNumberFormat="1" applyFont="1" applyFill="1" applyBorder="1"/>
    <x:xf numFmtId="0" fontId="3" fillId="0" borderId="1" xfId="0" applyNumberFormat="1" applyFont="1" applyFill="1" applyBorder="1"/>
    <x:xf numFmtId="0" fontId="9" fillId="0" borderId="0" xfId="0" applyNumberFormat="1" applyFont="1" applyFill="1" applyBorder="1"/>
    <x:xf numFmtId="0" fontId="3" fillId="0" borderId="0" xfId="0" applyNumberFormat="1" applyFont="1" applyFill="1" applyBorder="1" applyAlignment="1">
      <x:alignment wrapText="1"/>
    </x:xf>
    <x:xf numFmtId="0" fontId="10" fillId="0" borderId="0" xfId="0" applyNumberFormat="1" applyFont="1" applyFill="1" applyBorder="1"/>
    <x:xf numFmtId="0" fontId="3" fillId="2" borderId="0" xfId="0" applyNumberFormat="1" applyFont="1" applyFill="1" applyBorder="1"/>
    <x:xf numFmtId="0" fontId="11" fillId="2" borderId="0" xfId="0" applyNumberFormat="1" applyFont="1" applyFill="1" applyBorder="1"/>
    <x:xf numFmtId="0" fontId="12" fillId="2" borderId="0" xfId="0" applyNumberFormat="1" applyFont="1" applyFill="1" applyBorder="1"/>
    <x:xf numFmtId="0" fontId="12" fillId="2" borderId="0" xfId="0" applyNumberFormat="1" applyFont="1" applyFill="1" applyBorder="1" applyAlignment="1">
      <x:alignment wrapText="1"/>
    </x:xf>
    <x:xf numFmtId="0" fontId="12" fillId="2" borderId="0" xfId="0" applyNumberFormat="1" applyFont="1" applyFill="1" applyBorder="1" applyAlignment="1">
      <x:alignment horizontal="center" wrapText="1"/>
    </x:xf>
    <x:xf numFmtId="0" fontId="3" fillId="3" borderId="0" xfId="0" applyNumberFormat="1" applyFont="1" applyFill="1" applyBorder="1"/>
    <x:xf numFmtId="0" fontId="3" fillId="4" borderId="0" xfId="0" applyNumberFormat="1" applyFont="1" applyFill="1" applyBorder="1"/>
    <x:xf numFmtId="0" fontId="3" fillId="5" borderId="0" xfId="0" applyNumberFormat="1" applyFont="1" applyFill="1" applyBorder="1"/>
    <x:xf numFmtId="200" fontId="3" fillId="4" borderId="0" xfId="0" applyNumberFormat="1" applyFont="1" applyFill="1" applyBorder="1"/>
    <x:xf numFmtId="200" fontId="3" fillId="5" borderId="0" xfId="0" applyNumberFormat="1" applyFont="1" applyFill="1" applyBorder="1"/>
    <x:xf numFmtId="201" fontId="3" fillId="5" borderId="0" xfId="0" applyNumberFormat="1" applyFont="1" applyFill="1" applyBorder="1"/>
    <x:xf numFmtId="201" fontId="3" fillId="4" borderId="0" xfId="0" applyNumberFormat="1" applyFont="1" applyFill="1" applyBorder="1"/>
    <x:xf numFmtId="201" fontId="3" fillId="0" borderId="0" xfId="0" applyNumberFormat="1" applyFont="1" applyFill="1" applyBorder="1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fd150ff20660451f" /><Relationship Type="http://schemas.openxmlformats.org/officeDocument/2006/relationships/theme" Target="/xl/theme/theme1.xml" Id="Ra9bd33b3daca4c8f" /><Relationship Type="http://schemas.openxmlformats.org/officeDocument/2006/relationships/sharedStrings" Target="/xl/sharedStrings.xml" Id="R3435aca7178c4ad0" /><Relationship Type="http://schemas.openxmlformats.org/officeDocument/2006/relationships/worksheet" Target="/xl/worksheets/sheet1.xml" Id="R8c5d7f9c5ecf48ba" /><Relationship Type="http://schemas.openxmlformats.org/officeDocument/2006/relationships/worksheet" Target="/xl/worksheets/sheet2.xml" Id="R02261a9f852544d2" /><Relationship Type="http://schemas.openxmlformats.org/officeDocument/2006/relationships/worksheet" Target="/xl/worksheets/sheet3.xml" Id="Rb12d8f16a047487e" /><Relationship Type="http://schemas.openxmlformats.org/officeDocument/2006/relationships/worksheet" Target="/xl/worksheets/sheet4.xml" Id="Ra1cc9164b1234ca6" /><Relationship Type="http://schemas.openxmlformats.org/officeDocument/2006/relationships/worksheet" Target="/xl/worksheets/sheet5.xml" Id="R9fd2efc866b8403d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Pr>
    <x:tabColor rgb="FFFF1B8C"/>
  </x:sheetPr>
  <x:sheetViews>
    <x:sheetView showGridLines="0" workbookViewId="0"/>
  </x:sheetViews>
  <x:sheetFormatPr defaultRowHeight="15"/>
  <x:cols>
    <x:col min="1" max="1" width="27" hidden="0" customWidth="1"/>
    <x:col min="2" max="2" width="58" hidden="0" customWidth="1"/>
    <x:col min="3" max="3" width="70" hidden="0" customWidth="1"/>
  </x:cols>
  <x:sheetData>
    <x:row r="1">
      <x:c r="A1" s="3"/>
      <x:c r="B1" s="3"/>
      <x:c r="C1" s="3"/>
    </x:row>
    <x:row r="2">
      <x:c r="A2" s="6" t="str">
        <x:v>MARCATTA | Produto</x:v>
      </x:c>
      <x:c r="B2" s="3"/>
      <x:c r="C2" s="3"/>
    </x:row>
    <x:row r="3">
      <x:c r="A3" s="8" t="str">
        <x:v>Fase 03 · versão conceitual · 24/09/2026</x:v>
      </x:c>
      <x:c r="B3" s="3"/>
      <x:c r="C3" s="3"/>
    </x:row>
    <x:row r="4">
      <x:c r="A4" s="9"/>
      <x:c r="B4" s="9"/>
      <x:c r="C4" s="9"/>
    </x:row>
    <x:row r="5">
      <x:c r="A5" s="3"/>
      <x:c r="B5" s="3"/>
      <x:c r="C5" s="3"/>
    </x:row>
    <x:row r="6" ht="38" customHeight="1">
      <x:c r="A6" s="10" t="str">
        <x:v>1</x:v>
      </x:c>
      <x:c r="B6" s="11" t="str">
        <x:v>Catálogo</x:v>
      </x:c>
      <x:c r="C6" s="11" t="str">
        <x:v>18 SKUs mestres de conceito; nenhum homologado para venda.</x:v>
      </x:c>
    </x:row>
    <x:row r="7" ht="38" customHeight="1">
      <x:c r="A7" s="10" t="str">
        <x:v>2</x:v>
      </x:c>
      <x:c r="B7" s="11" t="str">
        <x:v>Fichas</x:v>
      </x:c>
      <x:c r="C7" s="11" t="str">
        <x:v>Completar a especificação técnica e prova aprovada por variante.</x:v>
      </x:c>
    </x:row>
    <x:row r="8" ht="38" customHeight="1">
      <x:c r="A8" s="10" t="str">
        <x:v>3</x:v>
      </x:c>
      <x:c r="B8" s="11" t="str">
        <x:v>Composição</x:v>
      </x:c>
      <x:c r="C8" s="11" t="str">
        <x:v>BOM ilustrativa dos três kits. Validar itens e quantidades com cliente/fornecedor.</x:v>
      </x:c>
    </x:row>
    <x:row r="9" ht="38" customHeight="1">
      <x:c r="A9" s="10" t="str">
        <x:v>4</x:v>
      </x:c>
      <x:c r="B9" s="11" t="str">
        <x:v>Precificação</x:v>
      </x:c>
      <x:c r="C9" s="11" t="str">
        <x:v>Entrar custos por lote e tributos/taxas/margem como percentuais. Zero apenas se comprovadamente zero.</x:v>
      </x:c>
    </x:row>
    <x:row r="10" ht="38" customHeight="1">
      <x:c r="A10" s="10" t="str">
        <x:v>5</x:v>
      </x:c>
      <x:c r="B10" s="11" t="str">
        <x:v>Liberação</x:v>
      </x:c>
      <x:c r="C10" s="11" t="str">
        <x:v>Cotação + amostra + gabarito + fornecedor alternativo + margem + prazo + QC.</x:v>
      </x:c>
    </x:row>
    <x:row r="11" ht="38" customHeight="1">
      <x:c r="A11" s="10" t="str">
        <x:v>SKU</x:v>
      </x:c>
      <x:c r="B11" s="11" t="str">
        <x:v>MAR-[LINHA]-[FAMÍLIA]-[NNN]</x:v>
      </x:c>
      <x:c r="C11" s="11" t="str">
        <x:v>Variante -V01 apenas após especificação fixa; SKU mestre não equivale à oferta pronta.</x:v>
      </x:c>
    </x:row>
    <x:row r="12" ht="38" customHeight="1">
      <x:c r="A12" s="10" t="str">
        <x:v>Cálculo</x:v>
      </x:c>
      <x:c r="B12" s="11" t="str">
        <x:v>Preço piso = custo unitário / (1 − tributos − taxa − comissão − margem-alvo)</x:v>
      </x:c>
      <x:c r="C12" s="11" t="str">
        <x:v>Margem de contribuição = (preço × (1 − tributos − taxa − comissão) − custo) / preço.</x:v>
      </x:c>
    </x:row>
    <x:row r="13" ht="38" customHeight="1">
      <x:c r="A13" s="10" t="str">
        <x:v>Cuidado</x:v>
      </x:c>
      <x:c r="B13" s="11" t="str">
        <x:v>Nenhum percentual, custo, MOQ ou prazo foi presumido.</x:v>
      </x:c>
      <x:c r="C13" s="11" t="str">
        <x:v>A coluna preço proposto é preenchida pela MARCATTA após cotação e validação fiscal.</x:v>
      </x:c>
    </x:row>
    <x:row r="14">
      <x:c r="A14" s="3"/>
      <x:c r="B14" s="3"/>
      <x:c r="C14" s="3"/>
    </x:row>
    <x:row r="15">
      <x:c r="A15" s="12" t="str">
        <x:v>Referências públicas</x:v>
      </x:c>
      <x:c r="B15" s="3"/>
      <x:c r="C15" s="3"/>
    </x:row>
    <x:row r="16">
      <x:c r="A16" s="3" t="str">
        <x:v>Versus</x:v>
      </x:c>
      <x:c r="B16" s="3" t="str">
        <x:v>Kits personalizados; armazenagem e gestão de estoque</x:v>
      </x:c>
      <x:c r="C16" s="3" t="str">
        <x:v>https://versusbrindes.com.br/</x:v>
      </x:c>
    </x:row>
    <x:row r="17">
      <x:c r="A17" s="3" t="str">
        <x:v>Gracias</x:v>
      </x:c>
      <x:c r="B17" s="3" t="str">
        <x:v>Curadoria de kits corporativos</x:v>
      </x:c>
      <x:c r="C17" s="3" t="str">
        <x:v>https://gracias.com.br/</x:v>
      </x:c>
    </x:row>
    <x:row r="18">
      <x:c r="A18" s="3" t="str">
        <x:v>FuturaIM</x:v>
      </x:c>
      <x:c r="B18" s="3" t="str">
        <x:v>Especificação de impressos/pastas</x:v>
      </x:c>
      <x:c r="C18" s="3" t="str">
        <x:v>https://www.futuraim.com.br/</x:v>
      </x:c>
    </x:row>
    <x:row r="19">
      <x:c r="A19" s="3" t="str">
        <x:v>Printi</x:v>
      </x:c>
      <x:c r="B19" s="3" t="str">
        <x:v>Configuração de papel, acabamento e tiragem</x:v>
      </x:c>
      <x:c r="C19" s="3" t="str">
        <x:v>https://www.printi.com.br/</x:v>
      </x:c>
    </x:row>
    <x:row r="20">
      <x:c r="A20" s="3" t="str">
        <x:v>Boncriar</x:v>
      </x:c>
      <x:c r="B20" s="3" t="str">
        <x:v>Categorias de brindes e kits</x:v>
      </x:c>
      <x:c r="C20" s="3" t="str">
        <x:v>https://www.boncriar.com.br/</x:v>
      </x:c>
    </x:row>
    <x:row r="21">
      <x:c r="A21" s="3"/>
      <x:c r="B21" s="3"/>
      <x:c r="C21" s="3"/>
    </x:row>
    <x:row r="22">
      <x:c r="A22" s="3"/>
      <x:c r="B22" s="3"/>
      <x:c r="C22" s="3"/>
    </x:row>
    <x:row r="23">
      <x:c r="A23" s="3"/>
      <x:c r="B23" s="3"/>
      <x:c r="C23" s="3"/>
    </x:row>
    <x:row r="24">
      <x:c r="A24" s="3"/>
      <x:c r="B24" s="3"/>
      <x:c r="C24" s="3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Pr>
    <x:tabColor rgb="FFFF1B8C"/>
  </x:sheetPr>
  <x:sheetViews>
    <x:sheetView showGridLines="0" workbookViewId="0">
      <x:pane ySplit="6" topLeftCell="A7" activePane="bottomLeft" state="frozen"/>
    </x:sheetView>
  </x:sheetViews>
  <x:sheetFormatPr defaultRowHeight="15"/>
  <x:cols>
    <x:col min="1" max="1" width="25" hidden="0" customWidth="1"/>
    <x:col min="2" max="2" width="14" hidden="0" customWidth="1"/>
    <x:col min="3" max="3" width="28" hidden="0" customWidth="1"/>
    <x:col min="4" max="4" width="24" hidden="0" customWidth="1"/>
    <x:col min="5" max="5" width="25" hidden="0" customWidth="1"/>
    <x:col min="6" max="6" width="27" hidden="0" customWidth="1"/>
    <x:col min="7" max="7" width="19" hidden="0" customWidth="1"/>
    <x:col min="8" max="8" width="25" hidden="0" customWidth="1"/>
  </x:cols>
  <x:sheetData>
    <x:row r="1">
      <x:c r="A1" s="3"/>
      <x:c r="B1" s="3"/>
      <x:c r="C1" s="3"/>
      <x:c r="D1" s="3"/>
      <x:c r="E1" s="3"/>
      <x:c r="F1" s="3"/>
      <x:c r="G1" s="3"/>
      <x:c r="H1" s="3"/>
    </x:row>
    <x:row r="2">
      <x:c r="A2" s="6" t="str">
        <x:v>Catálogo mestre</x:v>
      </x:c>
      <x:c r="B2" s="3"/>
      <x:c r="C2" s="3"/>
      <x:c r="D2" s="3"/>
      <x:c r="E2" s="3"/>
      <x:c r="F2" s="3"/>
      <x:c r="G2" s="3"/>
      <x:c r="H2" s="3"/>
    </x:row>
    <x:row r="3">
      <x:c r="A3" s="8" t="str">
        <x:v>Hipóteses de portfólio para RH, marketing e compras · V1.0</x:v>
      </x:c>
      <x:c r="B3" s="3"/>
      <x:c r="C3" s="3"/>
      <x:c r="D3" s="3"/>
      <x:c r="E3" s="3"/>
      <x:c r="F3" s="3"/>
      <x:c r="G3" s="3"/>
      <x:c r="H3" s="3"/>
    </x:row>
    <x:row r="4">
      <x:c r="A4" s="9"/>
      <x:c r="B4" s="9"/>
      <x:c r="C4" s="9"/>
      <x:c r="D4" s="9"/>
      <x:c r="E4" s="9"/>
      <x:c r="F4" s="9"/>
      <x:c r="G4" s="9"/>
      <x:c r="H4" s="9"/>
    </x:row>
    <x:row r="5">
      <x:c r="A5" s="3"/>
      <x:c r="B5" s="3"/>
      <x:c r="C5" s="3"/>
      <x:c r="D5" s="3"/>
      <x:c r="E5" s="3"/>
      <x:c r="F5" s="3"/>
      <x:c r="G5" s="3"/>
      <x:c r="H5" s="3"/>
    </x:row>
    <x:row r="6" ht="35" customHeight="1">
      <x:c r="A6" s="17" t="str">
        <x:v>SKU mestre</x:v>
      </x:c>
      <x:c r="B6" s="17" t="str">
        <x:v>Linha</x:v>
      </x:c>
      <x:c r="C6" s="17" t="str">
        <x:v>Produto / família</x:v>
      </x:c>
      <x:c r="D6" s="17" t="str">
        <x:v>ICP</x:v>
      </x:c>
      <x:c r="E6" s="17" t="str">
        <x:v>Ocasião</x:v>
      </x:c>
      <x:c r="F6" s="17" t="str">
        <x:v>Oferta</x:v>
      </x:c>
      <x:c r="G6" s="17" t="str">
        <x:v>Estado</x:v>
      </x:c>
      <x:c r="H6" s="17" t="str">
        <x:v>Referências públicas</x:v>
      </x:c>
    </x:row>
    <x:row r="7" ht="25" customHeight="1">
      <x:c r="A7" s="3" t="str">
        <x:v>MAR-KIT-ONB-001</x:v>
      </x:c>
      <x:c r="B7" s="3" t="str">
        <x:v>Kits</x:v>
      </x:c>
      <x:c r="C7" s="3" t="str">
        <x:v>Boas-vindas</x:v>
      </x:c>
      <x:c r="D7" s="3" t="str">
        <x:v>RH/People</x:v>
      </x:c>
      <x:c r="E7" s="3" t="str">
        <x:v>Admissão</x:v>
      </x:c>
      <x:c r="F7" s="3" t="str">
        <x:v>Kit sob proposta</x:v>
      </x:c>
      <x:c r="G7" s="18" t="str">
        <x:v>Conceito</x:v>
      </x:c>
      <x:c r="H7" s="3" t="str">
        <x:v>Gracias; Versus</x:v>
      </x:c>
    </x:row>
    <x:row r="8" ht="25" customHeight="1">
      <x:c r="A8" s="3" t="str">
        <x:v>MAR-KIT-REC-001</x:v>
      </x:c>
      <x:c r="B8" s="3" t="str">
        <x:v>Kits</x:v>
      </x:c>
      <x:c r="C8" s="3" t="str">
        <x:v>Reconhecimento</x:v>
      </x:c>
      <x:c r="D8" s="3" t="str">
        <x:v>RH/People</x:v>
      </x:c>
      <x:c r="E8" s="3" t="str">
        <x:v>Reconhecimento / fim de ano</x:v>
      </x:c>
      <x:c r="F8" s="3" t="str">
        <x:v>Kit sob proposta</x:v>
      </x:c>
      <x:c r="G8" s="18" t="str">
        <x:v>Conceito</x:v>
      </x:c>
      <x:c r="H8" s="3" t="str">
        <x:v>Gracias; Boncriar</x:v>
      </x:c>
    </x:row>
    <x:row r="9" ht="25" customHeight="1">
      <x:c r="A9" s="3" t="str">
        <x:v>MAR-KIT-EVT-001</x:v>
      </x:c>
      <x:c r="B9" s="3" t="str">
        <x:v>Kits</x:v>
      </x:c>
      <x:c r="C9" s="3" t="str">
        <x:v>Evento</x:v>
      </x:c>
      <x:c r="D9" s="3" t="str">
        <x:v>Marketing/Eventos</x:v>
      </x:c>
      <x:c r="E9" s="3" t="str">
        <x:v>Evento / campanha</x:v>
      </x:c>
      <x:c r="F9" s="3" t="str">
        <x:v>Kit sob proposta</x:v>
      </x:c>
      <x:c r="G9" s="18" t="str">
        <x:v>Conceito</x:v>
      </x:c>
      <x:c r="H9" s="3" t="str">
        <x:v>Versus; Boncriar</x:v>
      </x:c>
    </x:row>
    <x:row r="10" ht="25" customHeight="1">
      <x:c r="A10" s="3" t="str">
        <x:v>MAR-GRA-CRV-001</x:v>
      </x:c>
      <x:c r="B10" s="3" t="str">
        <x:v>Gráfica</x:v>
      </x:c>
      <x:c r="C10" s="3" t="str">
        <x:v>Cartão de visita</x:v>
      </x:c>
      <x:c r="D10" s="3" t="str">
        <x:v>Compras / PMEs</x:v>
      </x:c>
      <x:c r="E10" s="3" t="str">
        <x:v>Relacionamento</x:v>
      </x:c>
      <x:c r="F10" s="3" t="str">
        <x:v>Impressão sob encomenda</x:v>
      </x:c>
      <x:c r="G10" s="18" t="str">
        <x:v>Conceito</x:v>
      </x:c>
      <x:c r="H10" s="3" t="str">
        <x:v>Printi; FuturaIM</x:v>
      </x:c>
    </x:row>
    <x:row r="11" ht="25" customHeight="1">
      <x:c r="A11" s="3" t="str">
        <x:v>MAR-GRA-PST-001</x:v>
      </x:c>
      <x:c r="B11" s="3" t="str">
        <x:v>Gráfica</x:v>
      </x:c>
      <x:c r="C11" s="3" t="str">
        <x:v>Pasta com bolsa</x:v>
      </x:c>
      <x:c r="D11" s="3" t="str">
        <x:v>Compras / Marketing</x:v>
      </x:c>
      <x:c r="E11" s="3" t="str">
        <x:v>Apresentação</x:v>
      </x:c>
      <x:c r="F11" s="3" t="str">
        <x:v>Impressão sob encomenda</x:v>
      </x:c>
      <x:c r="G11" s="18" t="str">
        <x:v>Conceito</x:v>
      </x:c>
      <x:c r="H11" s="3" t="str">
        <x:v>FuturaIM</x:v>
      </x:c>
    </x:row>
    <x:row r="12" ht="25" customHeight="1">
      <x:c r="A12" s="3" t="str">
        <x:v>MAR-GRA-FLD-001</x:v>
      </x:c>
      <x:c r="B12" s="3" t="str">
        <x:v>Gráfica</x:v>
      </x:c>
      <x:c r="C12" s="3" t="str">
        <x:v>Folder</x:v>
      </x:c>
      <x:c r="D12" s="3" t="str">
        <x:v>Marketing/Eventos</x:v>
      </x:c>
      <x:c r="E12" s="3" t="str">
        <x:v>Campanha</x:v>
      </x:c>
      <x:c r="F12" s="3" t="str">
        <x:v>Impressão sob encomenda</x:v>
      </x:c>
      <x:c r="G12" s="18" t="str">
        <x:v>Conceito</x:v>
      </x:c>
      <x:c r="H12" s="3" t="str">
        <x:v>Printi; FuturaIM</x:v>
      </x:c>
    </x:row>
    <x:row r="13" ht="25" customHeight="1">
      <x:c r="A13" s="3" t="str">
        <x:v>MAR-GRA-ADS-001</x:v>
      </x:c>
      <x:c r="B13" s="3" t="str">
        <x:v>Gráfica</x:v>
      </x:c>
      <x:c r="C13" s="3" t="str">
        <x:v>Adesivo / etiqueta</x:v>
      </x:c>
      <x:c r="D13" s="3" t="str">
        <x:v>Compras / Marketing</x:v>
      </x:c>
      <x:c r="E13" s="3" t="str">
        <x:v>Identificação</x:v>
      </x:c>
      <x:c r="F13" s="3" t="str">
        <x:v>Impressão sob encomenda</x:v>
      </x:c>
      <x:c r="G13" s="18" t="str">
        <x:v>Conceito</x:v>
      </x:c>
      <x:c r="H13" s="3" t="str">
        <x:v>Printi; FuturaIM</x:v>
      </x:c>
    </x:row>
    <x:row r="14" ht="25" customHeight="1">
      <x:c r="A14" s="3" t="str">
        <x:v>MAR-GRA-CRA-001</x:v>
      </x:c>
      <x:c r="B14" s="3" t="str">
        <x:v>Gráfica</x:v>
      </x:c>
      <x:c r="C14" s="3" t="str">
        <x:v>Crachá</x:v>
      </x:c>
      <x:c r="D14" s="3" t="str">
        <x:v>Marketing/Eventos</x:v>
      </x:c>
      <x:c r="E14" s="3" t="str">
        <x:v>Evento</x:v>
      </x:c>
      <x:c r="F14" s="3" t="str">
        <x:v>Impressão sob encomenda</x:v>
      </x:c>
      <x:c r="G14" s="18" t="str">
        <x:v>Conceito</x:v>
      </x:c>
      <x:c r="H14" s="3" t="str">
        <x:v>FuturaIM</x:v>
      </x:c>
    </x:row>
    <x:row r="15" ht="25" customHeight="1">
      <x:c r="A15" s="3" t="str">
        <x:v>MAR-GRA-CAT-001</x:v>
      </x:c>
      <x:c r="B15" s="3" t="str">
        <x:v>Gráfica</x:v>
      </x:c>
      <x:c r="C15" s="3" t="str">
        <x:v>Catálogo</x:v>
      </x:c>
      <x:c r="D15" s="3" t="str">
        <x:v>Marketing / Vendas</x:v>
      </x:c>
      <x:c r="E15" s="3" t="str">
        <x:v>Apresentação</x:v>
      </x:c>
      <x:c r="F15" s="3" t="str">
        <x:v>Impressão sob encomenda</x:v>
      </x:c>
      <x:c r="G15" s="18" t="str">
        <x:v>Conceito</x:v>
      </x:c>
      <x:c r="H15" s="3" t="str">
        <x:v>Printi; FuturaIM</x:v>
      </x:c>
    </x:row>
    <x:row r="16" ht="25" customHeight="1">
      <x:c r="A16" s="3" t="str">
        <x:v>MAR-GRA-TAG-001</x:v>
      </x:c>
      <x:c r="B16" s="3" t="str">
        <x:v>Gráfica</x:v>
      </x:c>
      <x:c r="C16" s="3" t="str">
        <x:v>Tag personalizada</x:v>
      </x:c>
      <x:c r="D16" s="3" t="str">
        <x:v>Marketing / RH</x:v>
      </x:c>
      <x:c r="E16" s="3" t="str">
        <x:v>Embalagem / ação</x:v>
      </x:c>
      <x:c r="F16" s="3" t="str">
        <x:v>Impressão sob encomenda</x:v>
      </x:c>
      <x:c r="G16" s="18" t="str">
        <x:v>Conceito</x:v>
      </x:c>
      <x:c r="H16" s="3" t="str">
        <x:v>Boncriar; Printi</x:v>
      </x:c>
    </x:row>
    <x:row r="17" ht="25" customHeight="1">
      <x:c r="A17" s="3" t="str">
        <x:v>MAR-BRI-GAR-001</x:v>
      </x:c>
      <x:c r="B17" s="3" t="str">
        <x:v>Brindes</x:v>
      </x:c>
      <x:c r="C17" s="3" t="str">
        <x:v>Garrafa térmica</x:v>
      </x:c>
      <x:c r="D17" s="3" t="str">
        <x:v>RH / Marketing</x:v>
      </x:c>
      <x:c r="E17" s="3" t="str">
        <x:v>Kit / campanha</x:v>
      </x:c>
      <x:c r="F17" s="3" t="str">
        <x:v>Item sob encomenda</x:v>
      </x:c>
      <x:c r="G17" s="18" t="str">
        <x:v>Conceito</x:v>
      </x:c>
      <x:c r="H17" s="3" t="str">
        <x:v>Boncriar; Versus</x:v>
      </x:c>
    </x:row>
    <x:row r="18" ht="25" customHeight="1">
      <x:c r="A18" s="3" t="str">
        <x:v>MAR-BRI-COP-001</x:v>
      </x:c>
      <x:c r="B18" s="3" t="str">
        <x:v>Brindes</x:v>
      </x:c>
      <x:c r="C18" s="3" t="str">
        <x:v>Copo térmico</x:v>
      </x:c>
      <x:c r="D18" s="3" t="str">
        <x:v>RH / Marketing</x:v>
      </x:c>
      <x:c r="E18" s="3" t="str">
        <x:v>Kit / campanha</x:v>
      </x:c>
      <x:c r="F18" s="3" t="str">
        <x:v>Item sob encomenda</x:v>
      </x:c>
      <x:c r="G18" s="18" t="str">
        <x:v>Conceito</x:v>
      </x:c>
      <x:c r="H18" s="3" t="str">
        <x:v>Boncriar; Versus</x:v>
      </x:c>
    </x:row>
    <x:row r="19" ht="25" customHeight="1">
      <x:c r="A19" s="3" t="str">
        <x:v>MAR-BRI-CAN-001</x:v>
      </x:c>
      <x:c r="B19" s="3" t="str">
        <x:v>Brindes</x:v>
      </x:c>
      <x:c r="C19" s="3" t="str">
        <x:v>Caneca</x:v>
      </x:c>
      <x:c r="D19" s="3" t="str">
        <x:v>RH / Marketing</x:v>
      </x:c>
      <x:c r="E19" s="3" t="str">
        <x:v>Kit / campanha</x:v>
      </x:c>
      <x:c r="F19" s="3" t="str">
        <x:v>Item sob encomenda</x:v>
      </x:c>
      <x:c r="G19" s="18" t="str">
        <x:v>Conceito</x:v>
      </x:c>
      <x:c r="H19" s="3" t="str">
        <x:v>Boncriar; Gracias</x:v>
      </x:c>
    </x:row>
    <x:row r="20" ht="25" customHeight="1">
      <x:c r="A20" s="3" t="str">
        <x:v>MAR-BRI-CAD-001</x:v>
      </x:c>
      <x:c r="B20" s="3" t="str">
        <x:v>Brindes</x:v>
      </x:c>
      <x:c r="C20" s="3" t="str">
        <x:v>Caderno</x:v>
      </x:c>
      <x:c r="D20" s="3" t="str">
        <x:v>RH / Marketing</x:v>
      </x:c>
      <x:c r="E20" s="3" t="str">
        <x:v>Kit / campanha</x:v>
      </x:c>
      <x:c r="F20" s="3" t="str">
        <x:v>Item sob encomenda</x:v>
      </x:c>
      <x:c r="G20" s="18" t="str">
        <x:v>Conceito</x:v>
      </x:c>
      <x:c r="H20" s="3" t="str">
        <x:v>Boncriar; Gracias</x:v>
      </x:c>
    </x:row>
    <x:row r="21" ht="25" customHeight="1">
      <x:c r="A21" s="3" t="str">
        <x:v>MAR-BRI-PEN-001</x:v>
      </x:c>
      <x:c r="B21" s="3" t="str">
        <x:v>Brindes</x:v>
      </x:c>
      <x:c r="C21" s="3" t="str">
        <x:v>Caneta</x:v>
      </x:c>
      <x:c r="D21" s="3" t="str">
        <x:v>RH / Marketing</x:v>
      </x:c>
      <x:c r="E21" s="3" t="str">
        <x:v>Kit / campanha</x:v>
      </x:c>
      <x:c r="F21" s="3" t="str">
        <x:v>Item sob encomenda</x:v>
      </x:c>
      <x:c r="G21" s="18" t="str">
        <x:v>Conceito</x:v>
      </x:c>
      <x:c r="H21" s="3" t="str">
        <x:v>Boncriar; Gracias</x:v>
      </x:c>
    </x:row>
    <x:row r="22" ht="25" customHeight="1">
      <x:c r="A22" s="3" t="str">
        <x:v>MAR-BRI-ECO-001</x:v>
      </x:c>
      <x:c r="B22" s="3" t="str">
        <x:v>Brindes</x:v>
      </x:c>
      <x:c r="C22" s="3" t="str">
        <x:v>Ecobag</x:v>
      </x:c>
      <x:c r="D22" s="3" t="str">
        <x:v>Marketing/Eventos</x:v>
      </x:c>
      <x:c r="E22" s="3" t="str">
        <x:v>Evento / kit</x:v>
      </x:c>
      <x:c r="F22" s="3" t="str">
        <x:v>Item sob encomenda</x:v>
      </x:c>
      <x:c r="G22" s="18" t="str">
        <x:v>Conceito</x:v>
      </x:c>
      <x:c r="H22" s="3" t="str">
        <x:v>Boncriar; Gracias</x:v>
      </x:c>
    </x:row>
    <x:row r="23" ht="25" customHeight="1">
      <x:c r="A23" s="3" t="str">
        <x:v>MAR-EMB-CXA-001</x:v>
      </x:c>
      <x:c r="B23" s="3" t="str">
        <x:v>Embalagens</x:v>
      </x:c>
      <x:c r="C23" s="3" t="str">
        <x:v>Caixa personalizada</x:v>
      </x:c>
      <x:c r="D23" s="3" t="str">
        <x:v>RH / Marketing</x:v>
      </x:c>
      <x:c r="E23" s="3" t="str">
        <x:v>Kit / campanha</x:v>
      </x:c>
      <x:c r="F23" s="3" t="str">
        <x:v>Embalagem sob encomenda</x:v>
      </x:c>
      <x:c r="G23" s="18" t="str">
        <x:v>Conceito</x:v>
      </x:c>
      <x:c r="H23" s="3" t="str">
        <x:v>Boncriar; Gracias</x:v>
      </x:c>
    </x:row>
    <x:row r="24" ht="25" customHeight="1">
      <x:c r="A24" s="3" t="str">
        <x:v>MAR-EMB-CAR-001</x:v>
      </x:c>
      <x:c r="B24" s="3" t="str">
        <x:v>Embalagens</x:v>
      </x:c>
      <x:c r="C24" s="3" t="str">
        <x:v>Cartão mensagem</x:v>
      </x:c>
      <x:c r="D24" s="3" t="str">
        <x:v>RH / Marketing</x:v>
      </x:c>
      <x:c r="E24" s="3" t="str">
        <x:v>Kit / campanha</x:v>
      </x:c>
      <x:c r="F24" s="3" t="str">
        <x:v>Impressão sob encomenda</x:v>
      </x:c>
      <x:c r="G24" s="18" t="str">
        <x:v>Conceito</x:v>
      </x:c>
      <x:c r="H24" s="3" t="str">
        <x:v>Gracias; Printi</x:v>
      </x:c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Pr>
    <x:tabColor rgb="FFFF1B8C"/>
  </x:sheetPr>
  <x:sheetViews>
    <x:sheetView showGridLines="0" workbookViewId="0">
      <x:pane ySplit="6" topLeftCell="A7" activePane="bottomLeft" state="frozen"/>
    </x:sheetView>
  </x:sheetViews>
  <x:sheetFormatPr defaultRowHeight="15"/>
  <x:cols>
    <x:col min="1" max="1" width="25" hidden="0" customWidth="1"/>
    <x:col min="2" max="2" width="27" hidden="0" customWidth="1"/>
    <x:col min="3" max="3" width="23" hidden="0" customWidth="1"/>
    <x:col min="4" max="4" width="24" hidden="0" customWidth="1"/>
    <x:col min="5" max="5" width="22" hidden="0" customWidth="1"/>
    <x:col min="6" max="6" width="26" hidden="0" customWidth="1"/>
    <x:col min="7" max="7" width="23" hidden="0" customWidth="1"/>
    <x:col min="8" max="8" width="23" hidden="0" customWidth="1"/>
    <x:col min="9" max="9" width="23" hidden="0" customWidth="1"/>
    <x:col min="10" max="10" width="12" hidden="0" customWidth="1"/>
    <x:col min="11" max="11" width="14" hidden="0" customWidth="1"/>
    <x:col min="12" max="12" width="26" hidden="0" customWidth="1"/>
    <x:col min="13" max="13" width="18" hidden="0" customWidth="1"/>
  </x:cols>
  <x:sheetData>
    <x:row r="1">
      <x:c r="A1" s="3"/>
      <x:c r="B1" s="3"/>
      <x:c r="C1" s="3"/>
      <x:c r="D1" s="3"/>
      <x:c r="E1" s="3"/>
      <x:c r="F1" s="3"/>
      <x:c r="G1" s="3"/>
      <x:c r="H1" s="3"/>
      <x:c r="I1" s="3"/>
      <x:c r="J1" s="3"/>
      <x:c r="K1" s="3"/>
      <x:c r="L1" s="3"/>
      <x:c r="M1" s="3"/>
    </x:row>
    <x:row r="2">
      <x:c r="A2" s="6" t="str">
        <x:v>Fichas técnicas</x:v>
      </x:c>
      <x:c r="B2" s="3"/>
      <x:c r="C2" s="3"/>
      <x:c r="D2" s="3"/>
      <x:c r="E2" s="3"/>
      <x:c r="F2" s="3"/>
      <x:c r="G2" s="3"/>
      <x:c r="H2" s="3"/>
      <x:c r="I2" s="3"/>
      <x:c r="J2" s="3"/>
      <x:c r="K2" s="3"/>
      <x:c r="L2" s="3"/>
      <x:c r="M2" s="3"/>
    </x:row>
    <x:row r="3">
      <x:c r="A3" s="8" t="str">
        <x:v>Campos de aprovação por SKU mestre; registrar variante após especificação fixa</x:v>
      </x:c>
      <x:c r="B3" s="3"/>
      <x:c r="C3" s="3"/>
      <x:c r="D3" s="3"/>
      <x:c r="E3" s="3"/>
      <x:c r="F3" s="3"/>
      <x:c r="G3" s="3"/>
      <x:c r="H3" s="3"/>
      <x:c r="I3" s="3"/>
      <x:c r="J3" s="3"/>
      <x:c r="K3" s="3"/>
      <x:c r="L3" s="3"/>
      <x:c r="M3" s="3"/>
    </x:row>
    <x:row r="4">
      <x:c r="A4" s="9"/>
      <x:c r="B4" s="9"/>
      <x:c r="C4" s="9"/>
      <x:c r="D4" s="9"/>
      <x:c r="E4" s="9"/>
      <x:c r="F4" s="9"/>
      <x:c r="G4" s="9"/>
      <x:c r="H4" s="9"/>
      <x:c r="I4" s="9"/>
      <x:c r="J4" s="9"/>
      <x:c r="K4" s="9"/>
      <x:c r="L4" s="9"/>
      <x:c r="M4" s="9"/>
    </x:row>
    <x:row r="5">
      <x:c r="A5" s="3"/>
      <x:c r="B5" s="3"/>
      <x:c r="C5" s="3"/>
      <x:c r="D5" s="3"/>
      <x:c r="E5" s="3"/>
      <x:c r="F5" s="3"/>
      <x:c r="G5" s="3"/>
      <x:c r="H5" s="3"/>
      <x:c r="I5" s="3"/>
      <x:c r="J5" s="3"/>
      <x:c r="K5" s="3"/>
      <x:c r="L5" s="3"/>
      <x:c r="M5" s="3"/>
    </x:row>
    <x:row r="6" ht="35" customHeight="1">
      <x:c r="A6" s="17" t="str">
        <x:v>SKU mestre</x:v>
      </x:c>
      <x:c r="B6" s="17" t="str">
        <x:v>Produto</x:v>
      </x:c>
      <x:c r="C6" s="17" t="str">
        <x:v>Material / base</x:v>
      </x:c>
      <x:c r="D6" s="17" t="str">
        <x:v>Formato / capacidade</x:v>
      </x:c>
      <x:c r="E6" s="17" t="str">
        <x:v>Técnica</x:v>
      </x:c>
      <x:c r="F6" s="17" t="str">
        <x:v>Arte / gabarito</x:v>
      </x:c>
      <x:c r="G6" s="17" t="str">
        <x:v>Prova / amostra</x:v>
      </x:c>
      <x:c r="H6" s="17" t="str">
        <x:v>Fornecedor 1</x:v>
      </x:c>
      <x:c r="I6" s="17" t="str">
        <x:v>Alternativo</x:v>
      </x:c>
      <x:c r="J6" s="17" t="str">
        <x:v>MOQ</x:v>
      </x:c>
      <x:c r="K6" s="17" t="str">
        <x:v>Prazo</x:v>
      </x:c>
      <x:c r="L6" s="17" t="str">
        <x:v>QC / restrições</x:v>
      </x:c>
      <x:c r="M6" s="17" t="str">
        <x:v>Status</x:v>
      </x:c>
    </x:row>
    <x:row r="7" ht="25" customHeight="1">
      <x:c r="A7" s="3" t="str">
        <x:v>MAR-KIT-ONB-001</x:v>
      </x:c>
      <x:c r="B7" s="3" t="str">
        <x:v>Boas-vindas</x:v>
      </x:c>
      <x:c r="C7" s="19"/>
      <x:c r="D7" s="19"/>
      <x:c r="E7" s="19"/>
      <x:c r="F7" s="19"/>
      <x:c r="G7" s="19"/>
      <x:c r="H7" s="19"/>
      <x:c r="I7" s="19"/>
      <x:c r="J7" s="19"/>
      <x:c r="K7" s="19"/>
      <x:c r="L7" s="19"/>
      <x:c r="M7" s="3" t="str">
        <x:v>Pendente</x:v>
      </x:c>
    </x:row>
    <x:row r="8" ht="25" customHeight="1">
      <x:c r="A8" s="3" t="str">
        <x:v>MAR-KIT-REC-001</x:v>
      </x:c>
      <x:c r="B8" s="3" t="str">
        <x:v>Reconhecimento</x:v>
      </x:c>
      <x:c r="C8" s="19"/>
      <x:c r="D8" s="19"/>
      <x:c r="E8" s="19"/>
      <x:c r="F8" s="19"/>
      <x:c r="G8" s="19"/>
      <x:c r="H8" s="19"/>
      <x:c r="I8" s="19"/>
      <x:c r="J8" s="19"/>
      <x:c r="K8" s="19"/>
      <x:c r="L8" s="19"/>
      <x:c r="M8" s="3" t="str">
        <x:v>Pendente</x:v>
      </x:c>
    </x:row>
    <x:row r="9" ht="25" customHeight="1">
      <x:c r="A9" s="3" t="str">
        <x:v>MAR-KIT-EVT-001</x:v>
      </x:c>
      <x:c r="B9" s="3" t="str">
        <x:v>Evento</x:v>
      </x:c>
      <x:c r="C9" s="19"/>
      <x:c r="D9" s="19"/>
      <x:c r="E9" s="19"/>
      <x:c r="F9" s="19"/>
      <x:c r="G9" s="19"/>
      <x:c r="H9" s="19"/>
      <x:c r="I9" s="19"/>
      <x:c r="J9" s="19"/>
      <x:c r="K9" s="19"/>
      <x:c r="L9" s="19"/>
      <x:c r="M9" s="3" t="str">
        <x:v>Pendente</x:v>
      </x:c>
    </x:row>
    <x:row r="10" ht="25" customHeight="1">
      <x:c r="A10" s="3" t="str">
        <x:v>MAR-GRA-CRV-001</x:v>
      </x:c>
      <x:c r="B10" s="3" t="str">
        <x:v>Cartão de visita</x:v>
      </x:c>
      <x:c r="C10" s="19"/>
      <x:c r="D10" s="19"/>
      <x:c r="E10" s="19"/>
      <x:c r="F10" s="19"/>
      <x:c r="G10" s="19"/>
      <x:c r="H10" s="19"/>
      <x:c r="I10" s="19"/>
      <x:c r="J10" s="19"/>
      <x:c r="K10" s="19"/>
      <x:c r="L10" s="19"/>
      <x:c r="M10" s="3" t="str">
        <x:v>Pendente</x:v>
      </x:c>
    </x:row>
    <x:row r="11" ht="25" customHeight="1">
      <x:c r="A11" s="3" t="str">
        <x:v>MAR-GRA-PST-001</x:v>
      </x:c>
      <x:c r="B11" s="3" t="str">
        <x:v>Pasta com bolsa</x:v>
      </x:c>
      <x:c r="C11" s="19"/>
      <x:c r="D11" s="19"/>
      <x:c r="E11" s="19"/>
      <x:c r="F11" s="19"/>
      <x:c r="G11" s="19"/>
      <x:c r="H11" s="19"/>
      <x:c r="I11" s="19"/>
      <x:c r="J11" s="19"/>
      <x:c r="K11" s="19"/>
      <x:c r="L11" s="19"/>
      <x:c r="M11" s="3" t="str">
        <x:v>Pendente</x:v>
      </x:c>
    </x:row>
    <x:row r="12" ht="25" customHeight="1">
      <x:c r="A12" s="3" t="str">
        <x:v>MAR-GRA-FLD-001</x:v>
      </x:c>
      <x:c r="B12" s="3" t="str">
        <x:v>Folder</x:v>
      </x:c>
      <x:c r="C12" s="19"/>
      <x:c r="D12" s="19"/>
      <x:c r="E12" s="19"/>
      <x:c r="F12" s="19"/>
      <x:c r="G12" s="19"/>
      <x:c r="H12" s="19"/>
      <x:c r="I12" s="19"/>
      <x:c r="J12" s="19"/>
      <x:c r="K12" s="19"/>
      <x:c r="L12" s="19"/>
      <x:c r="M12" s="3" t="str">
        <x:v>Pendente</x:v>
      </x:c>
    </x:row>
    <x:row r="13" ht="25" customHeight="1">
      <x:c r="A13" s="3" t="str">
        <x:v>MAR-GRA-ADS-001</x:v>
      </x:c>
      <x:c r="B13" s="3" t="str">
        <x:v>Adesivo / etiqueta</x:v>
      </x:c>
      <x:c r="C13" s="19"/>
      <x:c r="D13" s="19"/>
      <x:c r="E13" s="19"/>
      <x:c r="F13" s="19"/>
      <x:c r="G13" s="19"/>
      <x:c r="H13" s="19"/>
      <x:c r="I13" s="19"/>
      <x:c r="J13" s="19"/>
      <x:c r="K13" s="19"/>
      <x:c r="L13" s="19"/>
      <x:c r="M13" s="3" t="str">
        <x:v>Pendente</x:v>
      </x:c>
    </x:row>
    <x:row r="14" ht="25" customHeight="1">
      <x:c r="A14" s="3" t="str">
        <x:v>MAR-GRA-CRA-001</x:v>
      </x:c>
      <x:c r="B14" s="3" t="str">
        <x:v>Crachá</x:v>
      </x:c>
      <x:c r="C14" s="19"/>
      <x:c r="D14" s="19"/>
      <x:c r="E14" s="19"/>
      <x:c r="F14" s="19"/>
      <x:c r="G14" s="19"/>
      <x:c r="H14" s="19"/>
      <x:c r="I14" s="19"/>
      <x:c r="J14" s="19"/>
      <x:c r="K14" s="19"/>
      <x:c r="L14" s="19"/>
      <x:c r="M14" s="3" t="str">
        <x:v>Pendente</x:v>
      </x:c>
    </x:row>
    <x:row r="15" ht="25" customHeight="1">
      <x:c r="A15" s="3" t="str">
        <x:v>MAR-GRA-CAT-001</x:v>
      </x:c>
      <x:c r="B15" s="3" t="str">
        <x:v>Catálogo</x:v>
      </x:c>
      <x:c r="C15" s="19"/>
      <x:c r="D15" s="19"/>
      <x:c r="E15" s="19"/>
      <x:c r="F15" s="19"/>
      <x:c r="G15" s="19"/>
      <x:c r="H15" s="19"/>
      <x:c r="I15" s="19"/>
      <x:c r="J15" s="19"/>
      <x:c r="K15" s="19"/>
      <x:c r="L15" s="19"/>
      <x:c r="M15" s="3" t="str">
        <x:v>Pendente</x:v>
      </x:c>
    </x:row>
    <x:row r="16" ht="25" customHeight="1">
      <x:c r="A16" s="3" t="str">
        <x:v>MAR-GRA-TAG-001</x:v>
      </x:c>
      <x:c r="B16" s="3" t="str">
        <x:v>Tag personalizada</x:v>
      </x:c>
      <x:c r="C16" s="19"/>
      <x:c r="D16" s="19"/>
      <x:c r="E16" s="19"/>
      <x:c r="F16" s="19"/>
      <x:c r="G16" s="19"/>
      <x:c r="H16" s="19"/>
      <x:c r="I16" s="19"/>
      <x:c r="J16" s="19"/>
      <x:c r="K16" s="19"/>
      <x:c r="L16" s="19"/>
      <x:c r="M16" s="3" t="str">
        <x:v>Pendente</x:v>
      </x:c>
    </x:row>
    <x:row r="17" ht="25" customHeight="1">
      <x:c r="A17" s="3" t="str">
        <x:v>MAR-BRI-GAR-001</x:v>
      </x:c>
      <x:c r="B17" s="3" t="str">
        <x:v>Garrafa térmica</x:v>
      </x:c>
      <x:c r="C17" s="19"/>
      <x:c r="D17" s="19"/>
      <x:c r="E17" s="19"/>
      <x:c r="F17" s="19"/>
      <x:c r="G17" s="19"/>
      <x:c r="H17" s="19"/>
      <x:c r="I17" s="19"/>
      <x:c r="J17" s="19"/>
      <x:c r="K17" s="19"/>
      <x:c r="L17" s="19"/>
      <x:c r="M17" s="3" t="str">
        <x:v>Pendente</x:v>
      </x:c>
    </x:row>
    <x:row r="18" ht="25" customHeight="1">
      <x:c r="A18" s="3" t="str">
        <x:v>MAR-BRI-COP-001</x:v>
      </x:c>
      <x:c r="B18" s="3" t="str">
        <x:v>Copo térmico</x:v>
      </x:c>
      <x:c r="C18" s="19"/>
      <x:c r="D18" s="19"/>
      <x:c r="E18" s="19"/>
      <x:c r="F18" s="19"/>
      <x:c r="G18" s="19"/>
      <x:c r="H18" s="19"/>
      <x:c r="I18" s="19"/>
      <x:c r="J18" s="19"/>
      <x:c r="K18" s="19"/>
      <x:c r="L18" s="19"/>
      <x:c r="M18" s="3" t="str">
        <x:v>Pendente</x:v>
      </x:c>
    </x:row>
    <x:row r="19" ht="25" customHeight="1">
      <x:c r="A19" s="3" t="str">
        <x:v>MAR-BRI-CAN-001</x:v>
      </x:c>
      <x:c r="B19" s="3" t="str">
        <x:v>Caneca</x:v>
      </x:c>
      <x:c r="C19" s="19"/>
      <x:c r="D19" s="19"/>
      <x:c r="E19" s="19"/>
      <x:c r="F19" s="19"/>
      <x:c r="G19" s="19"/>
      <x:c r="H19" s="19"/>
      <x:c r="I19" s="19"/>
      <x:c r="J19" s="19"/>
      <x:c r="K19" s="19"/>
      <x:c r="L19" s="19"/>
      <x:c r="M19" s="3" t="str">
        <x:v>Pendente</x:v>
      </x:c>
    </x:row>
    <x:row r="20" ht="25" customHeight="1">
      <x:c r="A20" s="3" t="str">
        <x:v>MAR-BRI-CAD-001</x:v>
      </x:c>
      <x:c r="B20" s="3" t="str">
        <x:v>Caderno</x:v>
      </x:c>
      <x:c r="C20" s="19"/>
      <x:c r="D20" s="19"/>
      <x:c r="E20" s="19"/>
      <x:c r="F20" s="19"/>
      <x:c r="G20" s="19"/>
      <x:c r="H20" s="19"/>
      <x:c r="I20" s="19"/>
      <x:c r="J20" s="19"/>
      <x:c r="K20" s="19"/>
      <x:c r="L20" s="19"/>
      <x:c r="M20" s="3" t="str">
        <x:v>Pendente</x:v>
      </x:c>
    </x:row>
    <x:row r="21" ht="25" customHeight="1">
      <x:c r="A21" s="3" t="str">
        <x:v>MAR-BRI-PEN-001</x:v>
      </x:c>
      <x:c r="B21" s="3" t="str">
        <x:v>Caneta</x:v>
      </x:c>
      <x:c r="C21" s="19"/>
      <x:c r="D21" s="19"/>
      <x:c r="E21" s="19"/>
      <x:c r="F21" s="19"/>
      <x:c r="G21" s="19"/>
      <x:c r="H21" s="19"/>
      <x:c r="I21" s="19"/>
      <x:c r="J21" s="19"/>
      <x:c r="K21" s="19"/>
      <x:c r="L21" s="19"/>
      <x:c r="M21" s="3" t="str">
        <x:v>Pendente</x:v>
      </x:c>
    </x:row>
    <x:row r="22" ht="25" customHeight="1">
      <x:c r="A22" s="3" t="str">
        <x:v>MAR-BRI-ECO-001</x:v>
      </x:c>
      <x:c r="B22" s="3" t="str">
        <x:v>Ecobag</x:v>
      </x:c>
      <x:c r="C22" s="19"/>
      <x:c r="D22" s="19"/>
      <x:c r="E22" s="19"/>
      <x:c r="F22" s="19"/>
      <x:c r="G22" s="19"/>
      <x:c r="H22" s="19"/>
      <x:c r="I22" s="19"/>
      <x:c r="J22" s="19"/>
      <x:c r="K22" s="19"/>
      <x:c r="L22" s="19"/>
      <x:c r="M22" s="3" t="str">
        <x:v>Pendente</x:v>
      </x:c>
    </x:row>
    <x:row r="23" ht="25" customHeight="1">
      <x:c r="A23" s="3" t="str">
        <x:v>MAR-EMB-CXA-001</x:v>
      </x:c>
      <x:c r="B23" s="3" t="str">
        <x:v>Caixa personalizada</x:v>
      </x:c>
      <x:c r="C23" s="19"/>
      <x:c r="D23" s="19"/>
      <x:c r="E23" s="19"/>
      <x:c r="F23" s="19"/>
      <x:c r="G23" s="19"/>
      <x:c r="H23" s="19"/>
      <x:c r="I23" s="19"/>
      <x:c r="J23" s="19"/>
      <x:c r="K23" s="19"/>
      <x:c r="L23" s="19"/>
      <x:c r="M23" s="3" t="str">
        <x:v>Pendente</x:v>
      </x:c>
    </x:row>
    <x:row r="24" ht="25" customHeight="1">
      <x:c r="A24" s="3" t="str">
        <x:v>MAR-EMB-CAR-001</x:v>
      </x:c>
      <x:c r="B24" s="3" t="str">
        <x:v>Cartão mensagem</x:v>
      </x:c>
      <x:c r="C24" s="19"/>
      <x:c r="D24" s="19"/>
      <x:c r="E24" s="19"/>
      <x:c r="F24" s="19"/>
      <x:c r="G24" s="19"/>
      <x:c r="H24" s="19"/>
      <x:c r="I24" s="19"/>
      <x:c r="J24" s="19"/>
      <x:c r="K24" s="19"/>
      <x:c r="L24" s="19"/>
      <x:c r="M24" s="3" t="str">
        <x:v>Pendente</x:v>
      </x:c>
    </x:row>
  </x:sheetData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Pr>
    <x:tabColor rgb="FFFF1B8C"/>
  </x:sheetPr>
  <x:sheetViews>
    <x:sheetView showGridLines="0" workbookViewId="0">
      <x:pane ySplit="6" topLeftCell="A7" activePane="bottomLeft" state="frozen"/>
    </x:sheetView>
  </x:sheetViews>
  <x:sheetFormatPr defaultRowHeight="15"/>
  <x:cols>
    <x:col min="1" max="1" width="25" hidden="0" customWidth="1"/>
    <x:col min="2" max="2" width="27" hidden="0" customWidth="1"/>
    <x:col min="3" max="3" width="13" hidden="0" customWidth="1"/>
    <x:col min="4" max="4" width="22" hidden="0" customWidth="1"/>
    <x:col min="5" max="5" width="21" hidden="0" customWidth="1"/>
    <x:col min="6" max="6" width="24" hidden="0" customWidth="1"/>
  </x:cols>
  <x:sheetData>
    <x:row r="1">
      <x:c r="A1" s="3"/>
      <x:c r="B1" s="3"/>
      <x:c r="C1" s="3"/>
      <x:c r="D1" s="3"/>
      <x:c r="E1" s="3"/>
      <x:c r="F1" s="3"/>
    </x:row>
    <x:row r="2">
      <x:c r="A2" s="6" t="str">
        <x:v>Composição de kits</x:v>
      </x:c>
      <x:c r="B2" s="3"/>
      <x:c r="C2" s="3"/>
      <x:c r="D2" s="3"/>
      <x:c r="E2" s="3"/>
      <x:c r="F2" s="3"/>
    </x:row>
    <x:row r="3">
      <x:c r="A3" s="8" t="str">
        <x:v>BOM conceitual; substituir por versão aprovada antes da venda</x:v>
      </x:c>
      <x:c r="B3" s="3"/>
      <x:c r="C3" s="3"/>
      <x:c r="D3" s="3"/>
      <x:c r="E3" s="3"/>
      <x:c r="F3" s="3"/>
    </x:row>
    <x:row r="4">
      <x:c r="A4" s="9"/>
      <x:c r="B4" s="9"/>
      <x:c r="C4" s="9"/>
      <x:c r="D4" s="9"/>
      <x:c r="E4" s="9"/>
      <x:c r="F4" s="9"/>
    </x:row>
    <x:row r="5">
      <x:c r="A5" s="3"/>
      <x:c r="B5" s="3"/>
      <x:c r="C5" s="3"/>
      <x:c r="D5" s="3"/>
      <x:c r="E5" s="3"/>
      <x:c r="F5" s="3"/>
    </x:row>
    <x:row r="6" ht="35" customHeight="1">
      <x:c r="A6" s="17" t="str">
        <x:v>SKU kit</x:v>
      </x:c>
      <x:c r="B6" s="17" t="str">
        <x:v>SKU componente</x:v>
      </x:c>
      <x:c r="C6" s="17" t="str">
        <x:v>Qtde/kit</x:v>
      </x:c>
      <x:c r="D6" s="17" t="str">
        <x:v>Custo unit. (R$)</x:v>
      </x:c>
      <x:c r="E6" s="17" t="str">
        <x:v>Subtotal (R$)</x:v>
      </x:c>
      <x:c r="F6" s="17" t="str">
        <x:v>Conferência</x:v>
      </x:c>
    </x:row>
    <x:row r="7" ht="25" customHeight="1">
      <x:c r="A7" s="3" t="str">
        <x:v>MAR-KIT-ONB-001</x:v>
      </x:c>
      <x:c r="B7" s="3" t="str">
        <x:v>MAR-EMB-CXA-001</x:v>
      </x:c>
      <x:c r="C7" s="19" t="n">
        <x:v>1</x:v>
      </x:c>
      <x:c r="D7" s="25" t="str">
        <x:f>IF(AND(B7='Precificação'!A23,ISNUMBER('Precificação'!P23)),'Precificação'!P23,"")</x:f>
      </x:c>
      <x:c r="E7" s="25" t="str">
        <x:f>IF(AND(ISNUMBER(C7),C7&gt;0,ISNUMBER(D7)),C7*D7,"")</x:f>
      </x:c>
      <x:c r="F7" s="3" t="str">
        <x:f>IF(ISNUMBER(E7),"CUSTO INFORMADO","PENDENTE")</x:f>
        <x:v>PENDENTE</x:v>
      </x:c>
    </x:row>
    <x:row r="8" ht="25" customHeight="1">
      <x:c r="A8" s="3" t="str">
        <x:v>MAR-KIT-ONB-001</x:v>
      </x:c>
      <x:c r="B8" s="3" t="str">
        <x:v>MAR-EMB-CAR-001</x:v>
      </x:c>
      <x:c r="C8" s="19" t="n">
        <x:v>1</x:v>
      </x:c>
      <x:c r="D8" s="25" t="str">
        <x:f>IF(AND(B8='Precificação'!A24,ISNUMBER('Precificação'!P24)),'Precificação'!P24,"")</x:f>
      </x:c>
      <x:c r="E8" s="25" t="str">
        <x:f>IF(AND(ISNUMBER(C8),C8&gt;0,ISNUMBER(D8)),C8*D8,"")</x:f>
      </x:c>
      <x:c r="F8" s="3" t="str">
        <x:f>IF(ISNUMBER(E8),"CUSTO INFORMADO","PENDENTE")</x:f>
        <x:v>PENDENTE</x:v>
      </x:c>
    </x:row>
    <x:row r="9" ht="25" customHeight="1">
      <x:c r="A9" s="3" t="str">
        <x:v>MAR-KIT-ONB-001</x:v>
      </x:c>
      <x:c r="B9" s="3" t="str">
        <x:v>MAR-BRI-CAD-001</x:v>
      </x:c>
      <x:c r="C9" s="19" t="n">
        <x:v>1</x:v>
      </x:c>
      <x:c r="D9" s="25" t="str">
        <x:f>IF(AND(B9='Precificação'!A20,ISNUMBER('Precificação'!P20)),'Precificação'!P20,"")</x:f>
      </x:c>
      <x:c r="E9" s="25" t="str">
        <x:f>IF(AND(ISNUMBER(C9),C9&gt;0,ISNUMBER(D9)),C9*D9,"")</x:f>
      </x:c>
      <x:c r="F9" s="3" t="str">
        <x:f>IF(ISNUMBER(E9),"CUSTO INFORMADO","PENDENTE")</x:f>
        <x:v>PENDENTE</x:v>
      </x:c>
    </x:row>
    <x:row r="10" ht="25" customHeight="1">
      <x:c r="A10" s="3" t="str">
        <x:v>MAR-KIT-ONB-001</x:v>
      </x:c>
      <x:c r="B10" s="3" t="str">
        <x:v>MAR-BRI-PEN-001</x:v>
      </x:c>
      <x:c r="C10" s="19" t="n">
        <x:v>1</x:v>
      </x:c>
      <x:c r="D10" s="25" t="str">
        <x:f>IF(AND(B10='Precificação'!A21,ISNUMBER('Precificação'!P21)),'Precificação'!P21,"")</x:f>
      </x:c>
      <x:c r="E10" s="25" t="str">
        <x:f>IF(AND(ISNUMBER(C10),C10&gt;0,ISNUMBER(D10)),C10*D10,"")</x:f>
      </x:c>
      <x:c r="F10" s="3" t="str">
        <x:f>IF(ISNUMBER(E10),"CUSTO INFORMADO","PENDENTE")</x:f>
        <x:v>PENDENTE</x:v>
      </x:c>
    </x:row>
    <x:row r="11" ht="25" customHeight="1">
      <x:c r="A11" s="3" t="str">
        <x:v>MAR-KIT-ONB-001</x:v>
      </x:c>
      <x:c r="B11" s="3" t="str">
        <x:v>MAR-BRI-COP-001</x:v>
      </x:c>
      <x:c r="C11" s="19" t="n">
        <x:v>1</x:v>
      </x:c>
      <x:c r="D11" s="25" t="str">
        <x:f>IF(AND(B11='Precificação'!A18,ISNUMBER('Precificação'!P18)),'Precificação'!P18,"")</x:f>
      </x:c>
      <x:c r="E11" s="25" t="str">
        <x:f>IF(AND(ISNUMBER(C11),C11&gt;0,ISNUMBER(D11)),C11*D11,"")</x:f>
      </x:c>
      <x:c r="F11" s="3" t="str">
        <x:f>IF(ISNUMBER(E11),"CUSTO INFORMADO","PENDENTE")</x:f>
        <x:v>PENDENTE</x:v>
      </x:c>
    </x:row>
    <x:row r="12" ht="25" customHeight="1">
      <x:c r="A12" s="3" t="str">
        <x:v>MAR-KIT-REC-001</x:v>
      </x:c>
      <x:c r="B12" s="3" t="str">
        <x:v>MAR-EMB-CXA-001</x:v>
      </x:c>
      <x:c r="C12" s="19" t="n">
        <x:v>1</x:v>
      </x:c>
      <x:c r="D12" s="25" t="str">
        <x:f>IF(AND(B12='Precificação'!A23,ISNUMBER('Precificação'!P23)),'Precificação'!P23,"")</x:f>
      </x:c>
      <x:c r="E12" s="25" t="str">
        <x:f>IF(AND(ISNUMBER(C12),C12&gt;0,ISNUMBER(D12)),C12*D12,"")</x:f>
      </x:c>
      <x:c r="F12" s="3" t="str">
        <x:f>IF(ISNUMBER(E12),"CUSTO INFORMADO","PENDENTE")</x:f>
        <x:v>PENDENTE</x:v>
      </x:c>
    </x:row>
    <x:row r="13" ht="25" customHeight="1">
      <x:c r="A13" s="3" t="str">
        <x:v>MAR-KIT-REC-001</x:v>
      </x:c>
      <x:c r="B13" s="3" t="str">
        <x:v>MAR-EMB-CAR-001</x:v>
      </x:c>
      <x:c r="C13" s="19" t="n">
        <x:v>1</x:v>
      </x:c>
      <x:c r="D13" s="25" t="str">
        <x:f>IF(AND(B13='Precificação'!A24,ISNUMBER('Precificação'!P24)),'Precificação'!P24,"")</x:f>
      </x:c>
      <x:c r="E13" s="25" t="str">
        <x:f>IF(AND(ISNUMBER(C13),C13&gt;0,ISNUMBER(D13)),C13*D13,"")</x:f>
      </x:c>
      <x:c r="F13" s="3" t="str">
        <x:f>IF(ISNUMBER(E13),"CUSTO INFORMADO","PENDENTE")</x:f>
        <x:v>PENDENTE</x:v>
      </x:c>
    </x:row>
    <x:row r="14" ht="25" customHeight="1">
      <x:c r="A14" s="3" t="str">
        <x:v>MAR-KIT-REC-001</x:v>
      </x:c>
      <x:c r="B14" s="3" t="str">
        <x:v>MAR-BRI-GAR-001</x:v>
      </x:c>
      <x:c r="C14" s="19" t="n">
        <x:v>1</x:v>
      </x:c>
      <x:c r="D14" s="25" t="str">
        <x:f>IF(AND(B14='Precificação'!A17,ISNUMBER('Precificação'!P17)),'Precificação'!P17,"")</x:f>
      </x:c>
      <x:c r="E14" s="25" t="str">
        <x:f>IF(AND(ISNUMBER(C14),C14&gt;0,ISNUMBER(D14)),C14*D14,"")</x:f>
      </x:c>
      <x:c r="F14" s="3" t="str">
        <x:f>IF(ISNUMBER(E14),"CUSTO INFORMADO","PENDENTE")</x:f>
        <x:v>PENDENTE</x:v>
      </x:c>
    </x:row>
    <x:row r="15" ht="25" customHeight="1">
      <x:c r="A15" s="3" t="str">
        <x:v>MAR-KIT-REC-001</x:v>
      </x:c>
      <x:c r="B15" s="3" t="str">
        <x:v>MAR-BRI-CAD-001</x:v>
      </x:c>
      <x:c r="C15" s="19" t="n">
        <x:v>1</x:v>
      </x:c>
      <x:c r="D15" s="25" t="str">
        <x:f>IF(AND(B15='Precificação'!A20,ISNUMBER('Precificação'!P20)),'Precificação'!P20,"")</x:f>
      </x:c>
      <x:c r="E15" s="25" t="str">
        <x:f>IF(AND(ISNUMBER(C15),C15&gt;0,ISNUMBER(D15)),C15*D15,"")</x:f>
      </x:c>
      <x:c r="F15" s="3" t="str">
        <x:f>IF(ISNUMBER(E15),"CUSTO INFORMADO","PENDENTE")</x:f>
        <x:v>PENDENTE</x:v>
      </x:c>
    </x:row>
    <x:row r="16" ht="25" customHeight="1">
      <x:c r="A16" s="3" t="str">
        <x:v>MAR-KIT-EVT-001</x:v>
      </x:c>
      <x:c r="B16" s="3" t="str">
        <x:v>MAR-BRI-ECO-001</x:v>
      </x:c>
      <x:c r="C16" s="19" t="n">
        <x:v>1</x:v>
      </x:c>
      <x:c r="D16" s="25" t="str">
        <x:f>IF(AND(B16='Precificação'!A22,ISNUMBER('Precificação'!P22)),'Precificação'!P22,"")</x:f>
      </x:c>
      <x:c r="E16" s="25" t="str">
        <x:f>IF(AND(ISNUMBER(C16),C16&gt;0,ISNUMBER(D16)),C16*D16,"")</x:f>
      </x:c>
      <x:c r="F16" s="3" t="str">
        <x:f>IF(ISNUMBER(E16),"CUSTO INFORMADO","PENDENTE")</x:f>
        <x:v>PENDENTE</x:v>
      </x:c>
    </x:row>
    <x:row r="17" ht="25" customHeight="1">
      <x:c r="A17" s="3" t="str">
        <x:v>MAR-KIT-EVT-001</x:v>
      </x:c>
      <x:c r="B17" s="3" t="str">
        <x:v>MAR-GRA-CRA-001</x:v>
      </x:c>
      <x:c r="C17" s="19" t="n">
        <x:v>1</x:v>
      </x:c>
      <x:c r="D17" s="25" t="str">
        <x:f>IF(AND(B17='Precificação'!A14,ISNUMBER('Precificação'!P14)),'Precificação'!P14,"")</x:f>
      </x:c>
      <x:c r="E17" s="25" t="str">
        <x:f>IF(AND(ISNUMBER(C17),C17&gt;0,ISNUMBER(D17)),C17*D17,"")</x:f>
      </x:c>
      <x:c r="F17" s="3" t="str">
        <x:f>IF(ISNUMBER(E17),"CUSTO INFORMADO","PENDENTE")</x:f>
        <x:v>PENDENTE</x:v>
      </x:c>
    </x:row>
    <x:row r="18" ht="25" customHeight="1">
      <x:c r="A18" s="3" t="str">
        <x:v>MAR-KIT-EVT-001</x:v>
      </x:c>
      <x:c r="B18" s="3" t="str">
        <x:v>MAR-GRA-FLD-001</x:v>
      </x:c>
      <x:c r="C18" s="19" t="n">
        <x:v>1</x:v>
      </x:c>
      <x:c r="D18" s="25" t="str">
        <x:f>IF(AND(B18='Precificação'!A12,ISNUMBER('Precificação'!P12)),'Precificação'!P12,"")</x:f>
      </x:c>
      <x:c r="E18" s="25" t="str">
        <x:f>IF(AND(ISNUMBER(C18),C18&gt;0,ISNUMBER(D18)),C18*D18,"")</x:f>
      </x:c>
      <x:c r="F18" s="3" t="str">
        <x:f>IF(ISNUMBER(E18),"CUSTO INFORMADO","PENDENTE")</x:f>
        <x:v>PENDENTE</x:v>
      </x:c>
    </x:row>
    <x:row r="19" ht="25" customHeight="1">
      <x:c r="A19" s="3" t="str">
        <x:v>MAR-KIT-EVT-001</x:v>
      </x:c>
      <x:c r="B19" s="3" t="str">
        <x:v>MAR-BRI-PEN-001</x:v>
      </x:c>
      <x:c r="C19" s="19" t="n">
        <x:v>1</x:v>
      </x:c>
      <x:c r="D19" s="25" t="str">
        <x:f>IF(AND(B19='Precificação'!A21,ISNUMBER('Precificação'!P21)),'Precificação'!P21,"")</x:f>
      </x:c>
      <x:c r="E19" s="25" t="str">
        <x:f>IF(AND(ISNUMBER(C19),C19&gt;0,ISNUMBER(D19)),C19*D19,"")</x:f>
      </x:c>
      <x:c r="F19" s="3" t="str">
        <x:f>IF(ISNUMBER(E19),"CUSTO INFORMADO","PENDENTE")</x:f>
        <x:v>PENDENTE</x:v>
      </x:c>
    </x:row>
    <x:row r="20" ht="25" customHeight="1">
      <x:c r="A20" s="3" t="str">
        <x:v>MAR-KIT-EVT-001</x:v>
      </x:c>
      <x:c r="B20" s="3" t="str">
        <x:v>MAR-EMB-CAR-001</x:v>
      </x:c>
      <x:c r="C20" s="19" t="n">
        <x:v>1</x:v>
      </x:c>
      <x:c r="D20" s="25" t="str">
        <x:f>IF(AND(B20='Precificação'!A24,ISNUMBER('Precificação'!P24)),'Precificação'!P24,"")</x:f>
      </x:c>
      <x:c r="E20" s="25" t="str">
        <x:f>IF(AND(ISNUMBER(C20),C20&gt;0,ISNUMBER(D20)),C20*D20,"")</x:f>
      </x:c>
      <x:c r="F20" s="3" t="str">
        <x:f>IF(ISNUMBER(E20),"CUSTO INFORMADO","PENDENTE")</x:f>
        <x:v>PENDENTE</x:v>
      </x:c>
    </x:row>
    <x:row r="21">
      <x:c r="A21" s="3"/>
      <x:c r="B21" s="3"/>
      <x:c r="C21" s="3"/>
      <x:c r="D21" s="3"/>
      <x:c r="E21" s="3"/>
      <x:c r="F21" s="3"/>
    </x:row>
    <x:row r="22">
      <x:c r="A22" s="3"/>
      <x:c r="B22" s="3"/>
      <x:c r="C22" s="3"/>
      <x:c r="D22" s="3"/>
      <x:c r="E22" s="3"/>
      <x:c r="F22" s="3"/>
    </x:row>
    <x:row r="23">
      <x:c r="A23" s="3"/>
      <x:c r="B23" s="3"/>
      <x:c r="C23" s="3"/>
      <x:c r="D23" s="3"/>
      <x:c r="E23" s="3"/>
      <x:c r="F23" s="3"/>
    </x:row>
    <x:row r="24">
      <x:c r="A24" s="3"/>
      <x:c r="B24" s="3"/>
      <x:c r="C24" s="3"/>
      <x:c r="D24" s="3"/>
      <x:c r="E24" s="3"/>
      <x:c r="F24" s="3"/>
    </x:row>
  </x:sheetData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Pr>
    <x:tabColor rgb="FFFF1B8C"/>
  </x:sheetPr>
  <x:sheetViews>
    <x:sheetView showGridLines="0" workbookViewId="0">
      <x:pane ySplit="6" topLeftCell="A7" activePane="bottomLeft" state="frozen"/>
    </x:sheetView>
  </x:sheetViews>
  <x:sheetFormatPr defaultRowHeight="15"/>
  <x:cols>
    <x:col min="1" max="1" width="25" hidden="0" customWidth="1"/>
    <x:col min="2" max="2" width="23" hidden="0" customWidth="1"/>
    <x:col min="3" max="3" width="17" hidden="0" customWidth="1"/>
    <x:col min="4" max="4" width="13" hidden="0" customWidth="1"/>
    <x:col min="5" max="5" width="19" hidden="0" customWidth="1"/>
    <x:col min="6" max="6" width="19" hidden="0" customWidth="1"/>
    <x:col min="7" max="7" width="17" hidden="0" customWidth="1"/>
    <x:col min="8" max="8" width="17" hidden="0" customWidth="1"/>
    <x:col min="9" max="9" width="17" hidden="0" customWidth="1"/>
    <x:col min="10" max="10" width="19" hidden="0" customWidth="1"/>
    <x:col min="11" max="11" width="15" hidden="0" customWidth="1"/>
    <x:col min="12" max="12" width="13" hidden="0" customWidth="1"/>
    <x:col min="13" max="13" width="15" hidden="0" customWidth="1"/>
    <x:col min="14" max="14" width="14" hidden="0" customWidth="1"/>
    <x:col min="15" max="15" width="16" hidden="0" customWidth="1"/>
    <x:col min="16" max="16" width="20" hidden="0" customWidth="1"/>
    <x:col min="17" max="17" width="20" hidden="0" customWidth="1"/>
    <x:col min="18" max="18" width="21" hidden="0" customWidth="1"/>
    <x:col min="19" max="19" width="18" hidden="0" customWidth="1"/>
    <x:col min="20" max="20" width="17" hidden="0" customWidth="1"/>
    <x:col min="21" max="21" width="23" hidden="0" customWidth="1"/>
  </x:cols>
  <x:sheetData>
    <x:row r="1">
      <x:c r="A1" s="3"/>
      <x:c r="B1" s="3"/>
      <x:c r="C1" s="3"/>
      <x:c r="D1" s="3"/>
      <x:c r="E1" s="3"/>
      <x:c r="F1" s="3"/>
      <x:c r="G1" s="3"/>
      <x:c r="H1" s="3"/>
      <x:c r="I1" s="3"/>
      <x:c r="J1" s="3"/>
      <x:c r="K1" s="3"/>
      <x:c r="L1" s="3"/>
      <x:c r="M1" s="3"/>
      <x:c r="N1" s="3"/>
      <x:c r="O1" s="3"/>
      <x:c r="P1" s="3"/>
      <x:c r="Q1" s="3"/>
      <x:c r="R1" s="3"/>
      <x:c r="S1" s="3"/>
      <x:c r="T1" s="3"/>
      <x:c r="U1" s="3"/>
    </x:row>
    <x:row r="2">
      <x:c r="A2" s="6" t="str">
        <x:v>Custo e margem</x:v>
      </x:c>
      <x:c r="B2" s="3"/>
      <x:c r="C2" s="3"/>
      <x:c r="D2" s="3"/>
      <x:c r="E2" s="3"/>
      <x:c r="F2" s="3"/>
      <x:c r="G2" s="3"/>
      <x:c r="H2" s="3"/>
      <x:c r="I2" s="3"/>
      <x:c r="J2" s="3"/>
      <x:c r="K2" s="3"/>
      <x:c r="L2" s="3"/>
      <x:c r="M2" s="3"/>
      <x:c r="N2" s="3"/>
      <x:c r="O2" s="3"/>
      <x:c r="P2" s="3"/>
      <x:c r="Q2" s="3"/>
      <x:c r="R2" s="3"/>
      <x:c r="S2" s="3"/>
      <x:c r="T2" s="3"/>
      <x:c r="U2" s="3"/>
    </x:row>
    <x:row r="3">
      <x:c r="A3" s="8" t="str">
        <x:v>Campos amarelos: entrada; campos cinza: fórmula · valores de concorrentes não são custo de fornecedor</x:v>
      </x:c>
      <x:c r="B3" s="3"/>
      <x:c r="C3" s="3"/>
      <x:c r="D3" s="3"/>
      <x:c r="E3" s="3"/>
      <x:c r="F3" s="3"/>
      <x:c r="G3" s="3"/>
      <x:c r="H3" s="3"/>
      <x:c r="I3" s="3"/>
      <x:c r="J3" s="3"/>
      <x:c r="K3" s="3"/>
      <x:c r="L3" s="3"/>
      <x:c r="M3" s="3"/>
      <x:c r="N3" s="3"/>
      <x:c r="O3" s="3"/>
      <x:c r="P3" s="3"/>
      <x:c r="Q3" s="3"/>
      <x:c r="R3" s="3"/>
      <x:c r="S3" s="3"/>
      <x:c r="T3" s="3"/>
      <x:c r="U3" s="3"/>
    </x:row>
    <x:row r="4">
      <x:c r="A4" s="9"/>
      <x:c r="B4" s="9"/>
      <x:c r="C4" s="9"/>
      <x:c r="D4" s="9"/>
      <x:c r="E4" s="9"/>
      <x:c r="F4" s="9"/>
      <x:c r="G4" s="9"/>
      <x:c r="H4" s="9"/>
      <x:c r="I4" s="9"/>
      <x:c r="J4" s="9"/>
      <x:c r="K4" s="9"/>
      <x:c r="L4" s="9"/>
      <x:c r="M4" s="9"/>
      <x:c r="N4" s="9"/>
      <x:c r="O4" s="9"/>
      <x:c r="P4" s="9"/>
      <x:c r="Q4" s="9"/>
      <x:c r="R4" s="9"/>
      <x:c r="S4" s="9"/>
      <x:c r="T4" s="9"/>
      <x:c r="U4" s="9"/>
    </x:row>
    <x:row r="5">
      <x:c r="A5" s="3"/>
      <x:c r="B5" s="3"/>
      <x:c r="C5" s="3"/>
      <x:c r="D5" s="3"/>
      <x:c r="E5" s="3"/>
      <x:c r="F5" s="3"/>
      <x:c r="G5" s="3"/>
      <x:c r="H5" s="3"/>
      <x:c r="I5" s="3"/>
      <x:c r="J5" s="3"/>
      <x:c r="K5" s="3"/>
      <x:c r="L5" s="3"/>
      <x:c r="M5" s="3"/>
      <x:c r="N5" s="3"/>
      <x:c r="O5" s="3"/>
      <x:c r="P5" s="3"/>
      <x:c r="Q5" s="3"/>
      <x:c r="R5" s="3"/>
      <x:c r="S5" s="3"/>
      <x:c r="T5" s="3"/>
      <x:c r="U5" s="3"/>
    </x:row>
    <x:row r="6" ht="35" customHeight="1">
      <x:c r="A6" s="17" t="str">
        <x:v>SKU mestre</x:v>
      </x:c>
      <x:c r="B6" s="17" t="str">
        <x:v>Fornecedor</x:v>
      </x:c>
      <x:c r="C6" s="17" t="str">
        <x:v>Data cotação</x:v>
      </x:c>
      <x:c r="D6" s="17" t="str">
        <x:v>Qtde lote</x:v>
      </x:c>
      <x:c r="E6" s="17" t="str">
        <x:v>Produção lote (R$)</x:v>
      </x:c>
      <x:c r="F6" s="17" t="str">
        <x:v>Personalização (R$)</x:v>
      </x:c>
      <x:c r="G6" s="17" t="str">
        <x:v>Arte/prova (R$)</x:v>
      </x:c>
      <x:c r="H6" s="17" t="str">
        <x:v>Embalagem (R$)</x:v>
      </x:c>
      <x:c r="I6" s="17" t="str">
        <x:v>Montagem (R$)</x:v>
      </x:c>
      <x:c r="J6" s="17" t="str">
        <x:v>Frete rateado (R$)</x:v>
      </x:c>
      <x:c r="K6" s="17" t="str">
        <x:v>Perdas (R$)</x:v>
      </x:c>
      <x:c r="L6" s="17" t="str">
        <x:v>Tributos %</x:v>
      </x:c>
      <x:c r="M6" s="17" t="str">
        <x:v>Taxa canal %</x:v>
      </x:c>
      <x:c r="N6" s="17" t="str">
        <x:v>Comissão %</x:v>
      </x:c>
      <x:c r="O6" s="17" t="str">
        <x:v>Margem alvo %</x:v>
      </x:c>
      <x:c r="P6" s="17" t="str">
        <x:v>Custo unit. (R$)</x:v>
      </x:c>
      <x:c r="Q6" s="17" t="str">
        <x:v>Preço piso (R$)</x:v>
      </x:c>
      <x:c r="R6" s="17" t="str">
        <x:v>Preço proposto (R$)</x:v>
      </x:c>
      <x:c r="S6" s="17" t="str">
        <x:v>Contrib. (R$)</x:v>
      </x:c>
      <x:c r="T6" s="17" t="str">
        <x:v>Contrib. %</x:v>
      </x:c>
      <x:c r="U6" s="17" t="str">
        <x:v>Situação</x:v>
      </x:c>
    </x:row>
    <x:row r="7" ht="25" customHeight="1">
      <x:c r="A7" s="3" t="str">
        <x:v>MAR-KIT-ONB-001</x:v>
      </x:c>
      <x:c r="B7" s="19"/>
      <x:c r="C7" s="19"/>
      <x:c r="D7" s="19"/>
      <x:c r="E7" s="23" t="str">
        <x:f>IF(AND(COUNTIF('Composição'!$A$7:$A$20,A7)&gt;0,COUNTIFS('Composição'!$A$7:$A$20,A7,'Composição'!$F$7:$F$20,"CUSTO INFORMADO")=COUNTIF('Composição'!$A$7:$A$20,A7)),SUMIF('Composição'!$A$7:$A$20,A7,'Composição'!$E$7:$E$20)*D7,"")</x:f>
      </x:c>
      <x:c r="F7" s="24"/>
      <x:c r="G7" s="24"/>
      <x:c r="H7" s="24"/>
      <x:c r="I7" s="24"/>
      <x:c r="J7" s="24"/>
      <x:c r="K7" s="24"/>
      <x:c r="L7" s="21"/>
      <x:c r="M7" s="21"/>
      <x:c r="N7" s="21"/>
      <x:c r="O7" s="21"/>
      <x:c r="P7" s="23" t="str">
        <x:f>IF(AND(COUNT(D7:O7)=12,D7&gt;0),SUM(E7:K7)/D7,"")</x:f>
      </x:c>
      <x:c r="Q7" s="23" t="str">
        <x:f>IF(AND(ISNUMBER(P7),1-SUM(L7:O7)&gt;0),P7/(1-SUM(L7:O7)),"")</x:f>
      </x:c>
      <x:c r="R7" s="24"/>
      <x:c r="S7" s="23" t="str">
        <x:f>IF(AND(ISNUMBER(P7),ISNUMBER(R7),R7&gt;0),R7*(1-SUM(L7:N7))-P7,"")</x:f>
      </x:c>
      <x:c r="T7" s="22" t="str">
        <x:f>IF(AND(ISNUMBER(S7),R7&gt;0),S7/R7,"")</x:f>
      </x:c>
      <x:c r="U7" s="20" t="str">
        <x:f>IF(NOT(ISNUMBER(P7)),"PENDENTE CUSTO",IF(NOT(ISNUMBER(Q7)),"REVER PERCENTUAIS",IF(NOT(ISNUMBER(R7)),"SEM PREÇO",IF(R7&lt;Q7,"ABAIXO DO ALVO","REVISÃO COMERCIAL"))))</x:f>
        <x:v>PENDENTE CUSTO</x:v>
      </x:c>
    </x:row>
    <x:row r="8" ht="25" customHeight="1">
      <x:c r="A8" s="3" t="str">
        <x:v>MAR-KIT-REC-001</x:v>
      </x:c>
      <x:c r="B8" s="19"/>
      <x:c r="C8" s="19"/>
      <x:c r="D8" s="19"/>
      <x:c r="E8" s="23" t="str">
        <x:f>IF(AND(COUNTIF('Composição'!$A$7:$A$20,A8)&gt;0,COUNTIFS('Composição'!$A$7:$A$20,A8,'Composição'!$F$7:$F$20,"CUSTO INFORMADO")=COUNTIF('Composição'!$A$7:$A$20,A8)),SUMIF('Composição'!$A$7:$A$20,A8,'Composição'!$E$7:$E$20)*D8,"")</x:f>
      </x:c>
      <x:c r="F8" s="24"/>
      <x:c r="G8" s="24"/>
      <x:c r="H8" s="24"/>
      <x:c r="I8" s="24"/>
      <x:c r="J8" s="24"/>
      <x:c r="K8" s="24"/>
      <x:c r="L8" s="21"/>
      <x:c r="M8" s="21"/>
      <x:c r="N8" s="21"/>
      <x:c r="O8" s="21"/>
      <x:c r="P8" s="23" t="str">
        <x:f>IF(AND(COUNT(D8:O8)=12,D8&gt;0),SUM(E8:K8)/D8,"")</x:f>
      </x:c>
      <x:c r="Q8" s="23" t="str">
        <x:f>IF(AND(ISNUMBER(P8),1-SUM(L8:O8)&gt;0),P8/(1-SUM(L8:O8)),"")</x:f>
      </x:c>
      <x:c r="R8" s="24"/>
      <x:c r="S8" s="23" t="str">
        <x:f>IF(AND(ISNUMBER(P8),ISNUMBER(R8),R8&gt;0),R8*(1-SUM(L8:N8))-P8,"")</x:f>
      </x:c>
      <x:c r="T8" s="22" t="str">
        <x:f>IF(AND(ISNUMBER(S8),R8&gt;0),S8/R8,"")</x:f>
      </x:c>
      <x:c r="U8" s="20" t="str">
        <x:f>IF(NOT(ISNUMBER(P8)),"PENDENTE CUSTO",IF(NOT(ISNUMBER(Q8)),"REVER PERCENTUAIS",IF(NOT(ISNUMBER(R8)),"SEM PREÇO",IF(R8&lt;Q8,"ABAIXO DO ALVO","REVISÃO COMERCIAL"))))</x:f>
        <x:v>PENDENTE CUSTO</x:v>
      </x:c>
    </x:row>
    <x:row r="9" ht="25" customHeight="1">
      <x:c r="A9" s="3" t="str">
        <x:v>MAR-KIT-EVT-001</x:v>
      </x:c>
      <x:c r="B9" s="19"/>
      <x:c r="C9" s="19"/>
      <x:c r="D9" s="19"/>
      <x:c r="E9" s="23" t="str">
        <x:f>IF(AND(COUNTIF('Composição'!$A$7:$A$20,A9)&gt;0,COUNTIFS('Composição'!$A$7:$A$20,A9,'Composição'!$F$7:$F$20,"CUSTO INFORMADO")=COUNTIF('Composição'!$A$7:$A$20,A9)),SUMIF('Composição'!$A$7:$A$20,A9,'Composição'!$E$7:$E$20)*D9,"")</x:f>
      </x:c>
      <x:c r="F9" s="24"/>
      <x:c r="G9" s="24"/>
      <x:c r="H9" s="24"/>
      <x:c r="I9" s="24"/>
      <x:c r="J9" s="24"/>
      <x:c r="K9" s="24"/>
      <x:c r="L9" s="21"/>
      <x:c r="M9" s="21"/>
      <x:c r="N9" s="21"/>
      <x:c r="O9" s="21"/>
      <x:c r="P9" s="23" t="str">
        <x:f>IF(AND(COUNT(D9:O9)=12,D9&gt;0),SUM(E9:K9)/D9,"")</x:f>
      </x:c>
      <x:c r="Q9" s="23" t="str">
        <x:f>IF(AND(ISNUMBER(P9),1-SUM(L9:O9)&gt;0),P9/(1-SUM(L9:O9)),"")</x:f>
      </x:c>
      <x:c r="R9" s="24"/>
      <x:c r="S9" s="23" t="str">
        <x:f>IF(AND(ISNUMBER(P9),ISNUMBER(R9),R9&gt;0),R9*(1-SUM(L9:N9))-P9,"")</x:f>
      </x:c>
      <x:c r="T9" s="22" t="str">
        <x:f>IF(AND(ISNUMBER(S9),R9&gt;0),S9/R9,"")</x:f>
      </x:c>
      <x:c r="U9" s="20" t="str">
        <x:f>IF(NOT(ISNUMBER(P9)),"PENDENTE CUSTO",IF(NOT(ISNUMBER(Q9)),"REVER PERCENTUAIS",IF(NOT(ISNUMBER(R9)),"SEM PREÇO",IF(R9&lt;Q9,"ABAIXO DO ALVO","REVISÃO COMERCIAL"))))</x:f>
        <x:v>PENDENTE CUSTO</x:v>
      </x:c>
    </x:row>
    <x:row r="10" ht="25" customHeight="1">
      <x:c r="A10" s="3" t="str">
        <x:v>MAR-GRA-CRV-001</x:v>
      </x:c>
      <x:c r="B10" s="19"/>
      <x:c r="C10" s="19"/>
      <x:c r="D10" s="19"/>
      <x:c r="E10" s="24"/>
      <x:c r="F10" s="24"/>
      <x:c r="G10" s="24"/>
      <x:c r="H10" s="24"/>
      <x:c r="I10" s="24"/>
      <x:c r="J10" s="24"/>
      <x:c r="K10" s="24"/>
      <x:c r="L10" s="21"/>
      <x:c r="M10" s="21"/>
      <x:c r="N10" s="21"/>
      <x:c r="O10" s="21"/>
      <x:c r="P10" s="23" t="str">
        <x:f>IF(AND(COUNT(D10:O10)=12,D10&gt;0),SUM(E10:K10)/D10,"")</x:f>
      </x:c>
      <x:c r="Q10" s="23" t="str">
        <x:f>IF(AND(ISNUMBER(P10),1-SUM(L10:O10)&gt;0),P10/(1-SUM(L10:O10)),"")</x:f>
      </x:c>
      <x:c r="R10" s="24"/>
      <x:c r="S10" s="23" t="str">
        <x:f>IF(AND(ISNUMBER(P10),ISNUMBER(R10),R10&gt;0),R10*(1-SUM(L10:N10))-P10,"")</x:f>
      </x:c>
      <x:c r="T10" s="22" t="str">
        <x:f>IF(AND(ISNUMBER(S10),R10&gt;0),S10/R10,"")</x:f>
      </x:c>
      <x:c r="U10" s="20" t="str">
        <x:f>IF(NOT(ISNUMBER(P10)),"PENDENTE CUSTO",IF(NOT(ISNUMBER(Q10)),"REVER PERCENTUAIS",IF(NOT(ISNUMBER(R10)),"SEM PREÇO",IF(R10&lt;Q10,"ABAIXO DO ALVO","REVISÃO COMERCIAL"))))</x:f>
        <x:v>PENDENTE CUSTO</x:v>
      </x:c>
    </x:row>
    <x:row r="11" ht="25" customHeight="1">
      <x:c r="A11" s="3" t="str">
        <x:v>MAR-GRA-PST-001</x:v>
      </x:c>
      <x:c r="B11" s="19"/>
      <x:c r="C11" s="19"/>
      <x:c r="D11" s="19"/>
      <x:c r="E11" s="24"/>
      <x:c r="F11" s="24"/>
      <x:c r="G11" s="24"/>
      <x:c r="H11" s="24"/>
      <x:c r="I11" s="24"/>
      <x:c r="J11" s="24"/>
      <x:c r="K11" s="24"/>
      <x:c r="L11" s="21"/>
      <x:c r="M11" s="21"/>
      <x:c r="N11" s="21"/>
      <x:c r="O11" s="21"/>
      <x:c r="P11" s="23" t="str">
        <x:f>IF(AND(COUNT(D11:O11)=12,D11&gt;0),SUM(E11:K11)/D11,"")</x:f>
      </x:c>
      <x:c r="Q11" s="23" t="str">
        <x:f>IF(AND(ISNUMBER(P11),1-SUM(L11:O11)&gt;0),P11/(1-SUM(L11:O11)),"")</x:f>
      </x:c>
      <x:c r="R11" s="24"/>
      <x:c r="S11" s="23" t="str">
        <x:f>IF(AND(ISNUMBER(P11),ISNUMBER(R11),R11&gt;0),R11*(1-SUM(L11:N11))-P11,"")</x:f>
      </x:c>
      <x:c r="T11" s="22" t="str">
        <x:f>IF(AND(ISNUMBER(S11),R11&gt;0),S11/R11,"")</x:f>
      </x:c>
      <x:c r="U11" s="20" t="str">
        <x:f>IF(NOT(ISNUMBER(P11)),"PENDENTE CUSTO",IF(NOT(ISNUMBER(Q11)),"REVER PERCENTUAIS",IF(NOT(ISNUMBER(R11)),"SEM PREÇO",IF(R11&lt;Q11,"ABAIXO DO ALVO","REVISÃO COMERCIAL"))))</x:f>
        <x:v>PENDENTE CUSTO</x:v>
      </x:c>
    </x:row>
    <x:row r="12" ht="25" customHeight="1">
      <x:c r="A12" s="3" t="str">
        <x:v>MAR-GRA-FLD-001</x:v>
      </x:c>
      <x:c r="B12" s="19"/>
      <x:c r="C12" s="19"/>
      <x:c r="D12" s="19"/>
      <x:c r="E12" s="24"/>
      <x:c r="F12" s="24"/>
      <x:c r="G12" s="24"/>
      <x:c r="H12" s="24"/>
      <x:c r="I12" s="24"/>
      <x:c r="J12" s="24"/>
      <x:c r="K12" s="24"/>
      <x:c r="L12" s="21"/>
      <x:c r="M12" s="21"/>
      <x:c r="N12" s="21"/>
      <x:c r="O12" s="21"/>
      <x:c r="P12" s="23" t="str">
        <x:f>IF(AND(COUNT(D12:O12)=12,D12&gt;0),SUM(E12:K12)/D12,"")</x:f>
      </x:c>
      <x:c r="Q12" s="23" t="str">
        <x:f>IF(AND(ISNUMBER(P12),1-SUM(L12:O12)&gt;0),P12/(1-SUM(L12:O12)),"")</x:f>
      </x:c>
      <x:c r="R12" s="24"/>
      <x:c r="S12" s="23" t="str">
        <x:f>IF(AND(ISNUMBER(P12),ISNUMBER(R12),R12&gt;0),R12*(1-SUM(L12:N12))-P12,"")</x:f>
      </x:c>
      <x:c r="T12" s="22" t="str">
        <x:f>IF(AND(ISNUMBER(S12),R12&gt;0),S12/R12,"")</x:f>
      </x:c>
      <x:c r="U12" s="20" t="str">
        <x:f>IF(NOT(ISNUMBER(P12)),"PENDENTE CUSTO",IF(NOT(ISNUMBER(Q12)),"REVER PERCENTUAIS",IF(NOT(ISNUMBER(R12)),"SEM PREÇO",IF(R12&lt;Q12,"ABAIXO DO ALVO","REVISÃO COMERCIAL"))))</x:f>
        <x:v>PENDENTE CUSTO</x:v>
      </x:c>
    </x:row>
    <x:row r="13" ht="25" customHeight="1">
      <x:c r="A13" s="3" t="str">
        <x:v>MAR-GRA-ADS-001</x:v>
      </x:c>
      <x:c r="B13" s="19"/>
      <x:c r="C13" s="19"/>
      <x:c r="D13" s="19"/>
      <x:c r="E13" s="24"/>
      <x:c r="F13" s="24"/>
      <x:c r="G13" s="24"/>
      <x:c r="H13" s="24"/>
      <x:c r="I13" s="24"/>
      <x:c r="J13" s="24"/>
      <x:c r="K13" s="24"/>
      <x:c r="L13" s="21"/>
      <x:c r="M13" s="21"/>
      <x:c r="N13" s="21"/>
      <x:c r="O13" s="21"/>
      <x:c r="P13" s="23" t="str">
        <x:f>IF(AND(COUNT(D13:O13)=12,D13&gt;0),SUM(E13:K13)/D13,"")</x:f>
      </x:c>
      <x:c r="Q13" s="23" t="str">
        <x:f>IF(AND(ISNUMBER(P13),1-SUM(L13:O13)&gt;0),P13/(1-SUM(L13:O13)),"")</x:f>
      </x:c>
      <x:c r="R13" s="24"/>
      <x:c r="S13" s="23" t="str">
        <x:f>IF(AND(ISNUMBER(P13),ISNUMBER(R13),R13&gt;0),R13*(1-SUM(L13:N13))-P13,"")</x:f>
      </x:c>
      <x:c r="T13" s="22" t="str">
        <x:f>IF(AND(ISNUMBER(S13),R13&gt;0),S13/R13,"")</x:f>
      </x:c>
      <x:c r="U13" s="20" t="str">
        <x:f>IF(NOT(ISNUMBER(P13)),"PENDENTE CUSTO",IF(NOT(ISNUMBER(Q13)),"REVER PERCENTUAIS",IF(NOT(ISNUMBER(R13)),"SEM PREÇO",IF(R13&lt;Q13,"ABAIXO DO ALVO","REVISÃO COMERCIAL"))))</x:f>
        <x:v>PENDENTE CUSTO</x:v>
      </x:c>
    </x:row>
    <x:row r="14" ht="25" customHeight="1">
      <x:c r="A14" s="3" t="str">
        <x:v>MAR-GRA-CRA-001</x:v>
      </x:c>
      <x:c r="B14" s="19"/>
      <x:c r="C14" s="19"/>
      <x:c r="D14" s="19"/>
      <x:c r="E14" s="24"/>
      <x:c r="F14" s="24"/>
      <x:c r="G14" s="24"/>
      <x:c r="H14" s="24"/>
      <x:c r="I14" s="24"/>
      <x:c r="J14" s="24"/>
      <x:c r="K14" s="24"/>
      <x:c r="L14" s="21"/>
      <x:c r="M14" s="21"/>
      <x:c r="N14" s="21"/>
      <x:c r="O14" s="21"/>
      <x:c r="P14" s="23" t="str">
        <x:f>IF(AND(COUNT(D14:O14)=12,D14&gt;0),SUM(E14:K14)/D14,"")</x:f>
      </x:c>
      <x:c r="Q14" s="23" t="str">
        <x:f>IF(AND(ISNUMBER(P14),1-SUM(L14:O14)&gt;0),P14/(1-SUM(L14:O14)),"")</x:f>
      </x:c>
      <x:c r="R14" s="24"/>
      <x:c r="S14" s="23" t="str">
        <x:f>IF(AND(ISNUMBER(P14),ISNUMBER(R14),R14&gt;0),R14*(1-SUM(L14:N14))-P14,"")</x:f>
      </x:c>
      <x:c r="T14" s="22" t="str">
        <x:f>IF(AND(ISNUMBER(S14),R14&gt;0),S14/R14,"")</x:f>
      </x:c>
      <x:c r="U14" s="20" t="str">
        <x:f>IF(NOT(ISNUMBER(P14)),"PENDENTE CUSTO",IF(NOT(ISNUMBER(Q14)),"REVER PERCENTUAIS",IF(NOT(ISNUMBER(R14)),"SEM PREÇO",IF(R14&lt;Q14,"ABAIXO DO ALVO","REVISÃO COMERCIAL"))))</x:f>
        <x:v>PENDENTE CUSTO</x:v>
      </x:c>
    </x:row>
    <x:row r="15" ht="25" customHeight="1">
      <x:c r="A15" s="3" t="str">
        <x:v>MAR-GRA-CAT-001</x:v>
      </x:c>
      <x:c r="B15" s="19"/>
      <x:c r="C15" s="19"/>
      <x:c r="D15" s="19"/>
      <x:c r="E15" s="24"/>
      <x:c r="F15" s="24"/>
      <x:c r="G15" s="24"/>
      <x:c r="H15" s="24"/>
      <x:c r="I15" s="24"/>
      <x:c r="J15" s="24"/>
      <x:c r="K15" s="24"/>
      <x:c r="L15" s="21"/>
      <x:c r="M15" s="21"/>
      <x:c r="N15" s="21"/>
      <x:c r="O15" s="21"/>
      <x:c r="P15" s="23" t="str">
        <x:f>IF(AND(COUNT(D15:O15)=12,D15&gt;0),SUM(E15:K15)/D15,"")</x:f>
      </x:c>
      <x:c r="Q15" s="23" t="str">
        <x:f>IF(AND(ISNUMBER(P15),1-SUM(L15:O15)&gt;0),P15/(1-SUM(L15:O15)),"")</x:f>
      </x:c>
      <x:c r="R15" s="24"/>
      <x:c r="S15" s="23" t="str">
        <x:f>IF(AND(ISNUMBER(P15),ISNUMBER(R15),R15&gt;0),R15*(1-SUM(L15:N15))-P15,"")</x:f>
      </x:c>
      <x:c r="T15" s="22" t="str">
        <x:f>IF(AND(ISNUMBER(S15),R15&gt;0),S15/R15,"")</x:f>
      </x:c>
      <x:c r="U15" s="20" t="str">
        <x:f>IF(NOT(ISNUMBER(P15)),"PENDENTE CUSTO",IF(NOT(ISNUMBER(Q15)),"REVER PERCENTUAIS",IF(NOT(ISNUMBER(R15)),"SEM PREÇO",IF(R15&lt;Q15,"ABAIXO DO ALVO","REVISÃO COMERCIAL"))))</x:f>
        <x:v>PENDENTE CUSTO</x:v>
      </x:c>
    </x:row>
    <x:row r="16" ht="25" customHeight="1">
      <x:c r="A16" s="3" t="str">
        <x:v>MAR-GRA-TAG-001</x:v>
      </x:c>
      <x:c r="B16" s="19"/>
      <x:c r="C16" s="19"/>
      <x:c r="D16" s="19"/>
      <x:c r="E16" s="24"/>
      <x:c r="F16" s="24"/>
      <x:c r="G16" s="24"/>
      <x:c r="H16" s="24"/>
      <x:c r="I16" s="24"/>
      <x:c r="J16" s="24"/>
      <x:c r="K16" s="24"/>
      <x:c r="L16" s="21"/>
      <x:c r="M16" s="21"/>
      <x:c r="N16" s="21"/>
      <x:c r="O16" s="21"/>
      <x:c r="P16" s="23" t="str">
        <x:f>IF(AND(COUNT(D16:O16)=12,D16&gt;0),SUM(E16:K16)/D16,"")</x:f>
      </x:c>
      <x:c r="Q16" s="23" t="str">
        <x:f>IF(AND(ISNUMBER(P16),1-SUM(L16:O16)&gt;0),P16/(1-SUM(L16:O16)),"")</x:f>
      </x:c>
      <x:c r="R16" s="24"/>
      <x:c r="S16" s="23" t="str">
        <x:f>IF(AND(ISNUMBER(P16),ISNUMBER(R16),R16&gt;0),R16*(1-SUM(L16:N16))-P16,"")</x:f>
      </x:c>
      <x:c r="T16" s="22" t="str">
        <x:f>IF(AND(ISNUMBER(S16),R16&gt;0),S16/R16,"")</x:f>
      </x:c>
      <x:c r="U16" s="20" t="str">
        <x:f>IF(NOT(ISNUMBER(P16)),"PENDENTE CUSTO",IF(NOT(ISNUMBER(Q16)),"REVER PERCENTUAIS",IF(NOT(ISNUMBER(R16)),"SEM PREÇO",IF(R16&lt;Q16,"ABAIXO DO ALVO","REVISÃO COMERCIAL"))))</x:f>
        <x:v>PENDENTE CUSTO</x:v>
      </x:c>
    </x:row>
    <x:row r="17" ht="25" customHeight="1">
      <x:c r="A17" s="3" t="str">
        <x:v>MAR-BRI-GAR-001</x:v>
      </x:c>
      <x:c r="B17" s="19"/>
      <x:c r="C17" s="19"/>
      <x:c r="D17" s="19"/>
      <x:c r="E17" s="24"/>
      <x:c r="F17" s="24"/>
      <x:c r="G17" s="24"/>
      <x:c r="H17" s="24"/>
      <x:c r="I17" s="24"/>
      <x:c r="J17" s="24"/>
      <x:c r="K17" s="24"/>
      <x:c r="L17" s="21"/>
      <x:c r="M17" s="21"/>
      <x:c r="N17" s="21"/>
      <x:c r="O17" s="21"/>
      <x:c r="P17" s="23" t="str">
        <x:f>IF(AND(COUNT(D17:O17)=12,D17&gt;0),SUM(E17:K17)/D17,"")</x:f>
      </x:c>
      <x:c r="Q17" s="23" t="str">
        <x:f>IF(AND(ISNUMBER(P17),1-SUM(L17:O17)&gt;0),P17/(1-SUM(L17:O17)),"")</x:f>
      </x:c>
      <x:c r="R17" s="24"/>
      <x:c r="S17" s="23" t="str">
        <x:f>IF(AND(ISNUMBER(P17),ISNUMBER(R17),R17&gt;0),R17*(1-SUM(L17:N17))-P17,"")</x:f>
      </x:c>
      <x:c r="T17" s="22" t="str">
        <x:f>IF(AND(ISNUMBER(S17),R17&gt;0),S17/R17,"")</x:f>
      </x:c>
      <x:c r="U17" s="20" t="str">
        <x:f>IF(NOT(ISNUMBER(P17)),"PENDENTE CUSTO",IF(NOT(ISNUMBER(Q17)),"REVER PERCENTUAIS",IF(NOT(ISNUMBER(R17)),"SEM PREÇO",IF(R17&lt;Q17,"ABAIXO DO ALVO","REVISÃO COMERCIAL"))))</x:f>
        <x:v>PENDENTE CUSTO</x:v>
      </x:c>
    </x:row>
    <x:row r="18" ht="25" customHeight="1">
      <x:c r="A18" s="3" t="str">
        <x:v>MAR-BRI-COP-001</x:v>
      </x:c>
      <x:c r="B18" s="19"/>
      <x:c r="C18" s="19"/>
      <x:c r="D18" s="19"/>
      <x:c r="E18" s="24"/>
      <x:c r="F18" s="24"/>
      <x:c r="G18" s="24"/>
      <x:c r="H18" s="24"/>
      <x:c r="I18" s="24"/>
      <x:c r="J18" s="24"/>
      <x:c r="K18" s="24"/>
      <x:c r="L18" s="21"/>
      <x:c r="M18" s="21"/>
      <x:c r="N18" s="21"/>
      <x:c r="O18" s="21"/>
      <x:c r="P18" s="23" t="str">
        <x:f>IF(AND(COUNT(D18:O18)=12,D18&gt;0),SUM(E18:K18)/D18,"")</x:f>
      </x:c>
      <x:c r="Q18" s="23" t="str">
        <x:f>IF(AND(ISNUMBER(P18),1-SUM(L18:O18)&gt;0),P18/(1-SUM(L18:O18)),"")</x:f>
      </x:c>
      <x:c r="R18" s="24"/>
      <x:c r="S18" s="23" t="str">
        <x:f>IF(AND(ISNUMBER(P18),ISNUMBER(R18),R18&gt;0),R18*(1-SUM(L18:N18))-P18,"")</x:f>
      </x:c>
      <x:c r="T18" s="22" t="str">
        <x:f>IF(AND(ISNUMBER(S18),R18&gt;0),S18/R18,"")</x:f>
      </x:c>
      <x:c r="U18" s="20" t="str">
        <x:f>IF(NOT(ISNUMBER(P18)),"PENDENTE CUSTO",IF(NOT(ISNUMBER(Q18)),"REVER PERCENTUAIS",IF(NOT(ISNUMBER(R18)),"SEM PREÇO",IF(R18&lt;Q18,"ABAIXO DO ALVO","REVISÃO COMERCIAL"))))</x:f>
        <x:v>PENDENTE CUSTO</x:v>
      </x:c>
    </x:row>
    <x:row r="19" ht="25" customHeight="1">
      <x:c r="A19" s="3" t="str">
        <x:v>MAR-BRI-CAN-001</x:v>
      </x:c>
      <x:c r="B19" s="19"/>
      <x:c r="C19" s="19"/>
      <x:c r="D19" s="19"/>
      <x:c r="E19" s="24"/>
      <x:c r="F19" s="24"/>
      <x:c r="G19" s="24"/>
      <x:c r="H19" s="24"/>
      <x:c r="I19" s="24"/>
      <x:c r="J19" s="24"/>
      <x:c r="K19" s="24"/>
      <x:c r="L19" s="21"/>
      <x:c r="M19" s="21"/>
      <x:c r="N19" s="21"/>
      <x:c r="O19" s="21"/>
      <x:c r="P19" s="23" t="str">
        <x:f>IF(AND(COUNT(D19:O19)=12,D19&gt;0),SUM(E19:K19)/D19,"")</x:f>
      </x:c>
      <x:c r="Q19" s="23" t="str">
        <x:f>IF(AND(ISNUMBER(P19),1-SUM(L19:O19)&gt;0),P19/(1-SUM(L19:O19)),"")</x:f>
      </x:c>
      <x:c r="R19" s="24"/>
      <x:c r="S19" s="23" t="str">
        <x:f>IF(AND(ISNUMBER(P19),ISNUMBER(R19),R19&gt;0),R19*(1-SUM(L19:N19))-P19,"")</x:f>
      </x:c>
      <x:c r="T19" s="22" t="str">
        <x:f>IF(AND(ISNUMBER(S19),R19&gt;0),S19/R19,"")</x:f>
      </x:c>
      <x:c r="U19" s="20" t="str">
        <x:f>IF(NOT(ISNUMBER(P19)),"PENDENTE CUSTO",IF(NOT(ISNUMBER(Q19)),"REVER PERCENTUAIS",IF(NOT(ISNUMBER(R19)),"SEM PREÇO",IF(R19&lt;Q19,"ABAIXO DO ALVO","REVISÃO COMERCIAL"))))</x:f>
        <x:v>PENDENTE CUSTO</x:v>
      </x:c>
    </x:row>
    <x:row r="20" ht="25" customHeight="1">
      <x:c r="A20" s="3" t="str">
        <x:v>MAR-BRI-CAD-001</x:v>
      </x:c>
      <x:c r="B20" s="19"/>
      <x:c r="C20" s="19"/>
      <x:c r="D20" s="19"/>
      <x:c r="E20" s="24"/>
      <x:c r="F20" s="24"/>
      <x:c r="G20" s="24"/>
      <x:c r="H20" s="24"/>
      <x:c r="I20" s="24"/>
      <x:c r="J20" s="24"/>
      <x:c r="K20" s="24"/>
      <x:c r="L20" s="21"/>
      <x:c r="M20" s="21"/>
      <x:c r="N20" s="21"/>
      <x:c r="O20" s="21"/>
      <x:c r="P20" s="23" t="str">
        <x:f>IF(AND(COUNT(D20:O20)=12,D20&gt;0),SUM(E20:K20)/D20,"")</x:f>
      </x:c>
      <x:c r="Q20" s="23" t="str">
        <x:f>IF(AND(ISNUMBER(P20),1-SUM(L20:O20)&gt;0),P20/(1-SUM(L20:O20)),"")</x:f>
      </x:c>
      <x:c r="R20" s="24"/>
      <x:c r="S20" s="23" t="str">
        <x:f>IF(AND(ISNUMBER(P20),ISNUMBER(R20),R20&gt;0),R20*(1-SUM(L20:N20))-P20,"")</x:f>
      </x:c>
      <x:c r="T20" s="22" t="str">
        <x:f>IF(AND(ISNUMBER(S20),R20&gt;0),S20/R20,"")</x:f>
      </x:c>
      <x:c r="U20" s="20" t="str">
        <x:f>IF(NOT(ISNUMBER(P20)),"PENDENTE CUSTO",IF(NOT(ISNUMBER(Q20)),"REVER PERCENTUAIS",IF(NOT(ISNUMBER(R20)),"SEM PREÇO",IF(R20&lt;Q20,"ABAIXO DO ALVO","REVISÃO COMERCIAL"))))</x:f>
        <x:v>PENDENTE CUSTO</x:v>
      </x:c>
    </x:row>
    <x:row r="21" ht="25" customHeight="1">
      <x:c r="A21" s="3" t="str">
        <x:v>MAR-BRI-PEN-001</x:v>
      </x:c>
      <x:c r="B21" s="19"/>
      <x:c r="C21" s="19"/>
      <x:c r="D21" s="19"/>
      <x:c r="E21" s="24"/>
      <x:c r="F21" s="24"/>
      <x:c r="G21" s="24"/>
      <x:c r="H21" s="24"/>
      <x:c r="I21" s="24"/>
      <x:c r="J21" s="24"/>
      <x:c r="K21" s="24"/>
      <x:c r="L21" s="21"/>
      <x:c r="M21" s="21"/>
      <x:c r="N21" s="21"/>
      <x:c r="O21" s="21"/>
      <x:c r="P21" s="23" t="str">
        <x:f>IF(AND(COUNT(D21:O21)=12,D21&gt;0),SUM(E21:K21)/D21,"")</x:f>
      </x:c>
      <x:c r="Q21" s="23" t="str">
        <x:f>IF(AND(ISNUMBER(P21),1-SUM(L21:O21)&gt;0),P21/(1-SUM(L21:O21)),"")</x:f>
      </x:c>
      <x:c r="R21" s="24"/>
      <x:c r="S21" s="23" t="str">
        <x:f>IF(AND(ISNUMBER(P21),ISNUMBER(R21),R21&gt;0),R21*(1-SUM(L21:N21))-P21,"")</x:f>
      </x:c>
      <x:c r="T21" s="22" t="str">
        <x:f>IF(AND(ISNUMBER(S21),R21&gt;0),S21/R21,"")</x:f>
      </x:c>
      <x:c r="U21" s="20" t="str">
        <x:f>IF(NOT(ISNUMBER(P21)),"PENDENTE CUSTO",IF(NOT(ISNUMBER(Q21)),"REVER PERCENTUAIS",IF(NOT(ISNUMBER(R21)),"SEM PREÇO",IF(R21&lt;Q21,"ABAIXO DO ALVO","REVISÃO COMERCIAL"))))</x:f>
        <x:v>PENDENTE CUSTO</x:v>
      </x:c>
    </x:row>
    <x:row r="22" ht="25" customHeight="1">
      <x:c r="A22" s="3" t="str">
        <x:v>MAR-BRI-ECO-001</x:v>
      </x:c>
      <x:c r="B22" s="19"/>
      <x:c r="C22" s="19"/>
      <x:c r="D22" s="19"/>
      <x:c r="E22" s="24"/>
      <x:c r="F22" s="24"/>
      <x:c r="G22" s="24"/>
      <x:c r="H22" s="24"/>
      <x:c r="I22" s="24"/>
      <x:c r="J22" s="24"/>
      <x:c r="K22" s="24"/>
      <x:c r="L22" s="21"/>
      <x:c r="M22" s="21"/>
      <x:c r="N22" s="21"/>
      <x:c r="O22" s="21"/>
      <x:c r="P22" s="23" t="str">
        <x:f>IF(AND(COUNT(D22:O22)=12,D22&gt;0),SUM(E22:K22)/D22,"")</x:f>
      </x:c>
      <x:c r="Q22" s="23" t="str">
        <x:f>IF(AND(ISNUMBER(P22),1-SUM(L22:O22)&gt;0),P22/(1-SUM(L22:O22)),"")</x:f>
      </x:c>
      <x:c r="R22" s="24"/>
      <x:c r="S22" s="23" t="str">
        <x:f>IF(AND(ISNUMBER(P22),ISNUMBER(R22),R22&gt;0),R22*(1-SUM(L22:N22))-P22,"")</x:f>
      </x:c>
      <x:c r="T22" s="22" t="str">
        <x:f>IF(AND(ISNUMBER(S22),R22&gt;0),S22/R22,"")</x:f>
      </x:c>
      <x:c r="U22" s="20" t="str">
        <x:f>IF(NOT(ISNUMBER(P22)),"PENDENTE CUSTO",IF(NOT(ISNUMBER(Q22)),"REVER PERCENTUAIS",IF(NOT(ISNUMBER(R22)),"SEM PREÇO",IF(R22&lt;Q22,"ABAIXO DO ALVO","REVISÃO COMERCIAL"))))</x:f>
        <x:v>PENDENTE CUSTO</x:v>
      </x:c>
    </x:row>
    <x:row r="23" ht="25" customHeight="1">
      <x:c r="A23" s="3" t="str">
        <x:v>MAR-EMB-CXA-001</x:v>
      </x:c>
      <x:c r="B23" s="19"/>
      <x:c r="C23" s="19"/>
      <x:c r="D23" s="19"/>
      <x:c r="E23" s="24"/>
      <x:c r="F23" s="24"/>
      <x:c r="G23" s="24"/>
      <x:c r="H23" s="24"/>
      <x:c r="I23" s="24"/>
      <x:c r="J23" s="24"/>
      <x:c r="K23" s="24"/>
      <x:c r="L23" s="21"/>
      <x:c r="M23" s="21"/>
      <x:c r="N23" s="21"/>
      <x:c r="O23" s="21"/>
      <x:c r="P23" s="23" t="str">
        <x:f>IF(AND(COUNT(D23:O23)=12,D23&gt;0),SUM(E23:K23)/D23,"")</x:f>
      </x:c>
      <x:c r="Q23" s="23" t="str">
        <x:f>IF(AND(ISNUMBER(P23),1-SUM(L23:O23)&gt;0),P23/(1-SUM(L23:O23)),"")</x:f>
      </x:c>
      <x:c r="R23" s="24"/>
      <x:c r="S23" s="23" t="str">
        <x:f>IF(AND(ISNUMBER(P23),ISNUMBER(R23),R23&gt;0),R23*(1-SUM(L23:N23))-P23,"")</x:f>
      </x:c>
      <x:c r="T23" s="22" t="str">
        <x:f>IF(AND(ISNUMBER(S23),R23&gt;0),S23/R23,"")</x:f>
      </x:c>
      <x:c r="U23" s="20" t="str">
        <x:f>IF(NOT(ISNUMBER(P23)),"PENDENTE CUSTO",IF(NOT(ISNUMBER(Q23)),"REVER PERCENTUAIS",IF(NOT(ISNUMBER(R23)),"SEM PREÇO",IF(R23&lt;Q23,"ABAIXO DO ALVO","REVISÃO COMERCIAL"))))</x:f>
        <x:v>PENDENTE CUSTO</x:v>
      </x:c>
    </x:row>
    <x:row r="24" ht="25" customHeight="1">
      <x:c r="A24" s="3" t="str">
        <x:v>MAR-EMB-CAR-001</x:v>
      </x:c>
      <x:c r="B24" s="19"/>
      <x:c r="C24" s="19"/>
      <x:c r="D24" s="19"/>
      <x:c r="E24" s="24"/>
      <x:c r="F24" s="24"/>
      <x:c r="G24" s="24"/>
      <x:c r="H24" s="24"/>
      <x:c r="I24" s="24"/>
      <x:c r="J24" s="24"/>
      <x:c r="K24" s="24"/>
      <x:c r="L24" s="21"/>
      <x:c r="M24" s="21"/>
      <x:c r="N24" s="21"/>
      <x:c r="O24" s="21"/>
      <x:c r="P24" s="23" t="str">
        <x:f>IF(AND(COUNT(D24:O24)=12,D24&gt;0),SUM(E24:K24)/D24,"")</x:f>
      </x:c>
      <x:c r="Q24" s="23" t="str">
        <x:f>IF(AND(ISNUMBER(P24),1-SUM(L24:O24)&gt;0),P24/(1-SUM(L24:O24)),"")</x:f>
      </x:c>
      <x:c r="R24" s="24"/>
      <x:c r="S24" s="23" t="str">
        <x:f>IF(AND(ISNUMBER(P24),ISNUMBER(R24),R24&gt;0),R24*(1-SUM(L24:N24))-P24,"")</x:f>
      </x:c>
      <x:c r="T24" s="22" t="str">
        <x:f>IF(AND(ISNUMBER(S24),R24&gt;0),S24/R24,"")</x:f>
      </x:c>
      <x:c r="U24" s="20" t="str">
        <x:f>IF(NOT(ISNUMBER(P24)),"PENDENTE CUSTO",IF(NOT(ISNUMBER(Q24)),"REVER PERCENTUAIS",IF(NOT(ISNUMBER(R24)),"SEM PREÇO",IF(R24&lt;Q24,"ABAIXO DO ALVO","REVISÃO COMERCIAL"))))</x:f>
        <x:v>PENDENTE CUSTO</x:v>
      </x:c>
    </x:row>
    <x:row r="25">
      <x:c r="A25" s="3"/>
      <x:c r="B25" s="3"/>
      <x:c r="C25" s="3"/>
      <x:c r="D25" s="3"/>
      <x:c r="E25" s="3"/>
      <x:c r="F25" s="3"/>
      <x:c r="G25" s="3"/>
      <x:c r="H25" s="3"/>
      <x:c r="I25" s="3"/>
      <x:c r="J25" s="3"/>
      <x:c r="K25" s="3"/>
      <x:c r="L25" s="3"/>
      <x:c r="M25" s="3"/>
      <x:c r="N25" s="3"/>
      <x:c r="O25" s="3"/>
      <x:c r="P25" s="3"/>
      <x:c r="Q25" s="3"/>
      <x:c r="R25" s="3"/>
      <x:c r="S25" s="3"/>
      <x:c r="T25" s="3"/>
      <x:c r="U25" s="3"/>
    </x:row>
    <x:row r="26">
      <x:c r="A26" s="3"/>
      <x:c r="B26" s="3"/>
      <x:c r="C26" s="3"/>
      <x:c r="D26" s="3"/>
      <x:c r="E26" s="3"/>
      <x:c r="F26" s="3"/>
      <x:c r="G26" s="3"/>
      <x:c r="H26" s="3"/>
      <x:c r="I26" s="3"/>
      <x:c r="J26" s="3"/>
      <x:c r="K26" s="3"/>
      <x:c r="L26" s="3"/>
      <x:c r="M26" s="3"/>
      <x:c r="N26" s="3"/>
      <x:c r="O26" s="3"/>
      <x:c r="P26" s="3"/>
      <x:c r="Q26" s="3"/>
      <x:c r="R26" s="3"/>
      <x:c r="S26" s="3"/>
      <x:c r="T26" s="3"/>
      <x:c r="U26" s="3"/>
    </x:row>
    <x:row r="27">
      <x:c r="A27" s="3"/>
      <x:c r="B27" s="3"/>
      <x:c r="C27" s="3"/>
      <x:c r="D27" s="3"/>
      <x:c r="E27" s="3"/>
      <x:c r="F27" s="3"/>
      <x:c r="G27" s="3"/>
      <x:c r="H27" s="3"/>
      <x:c r="I27" s="3"/>
      <x:c r="J27" s="3"/>
      <x:c r="K27" s="3"/>
      <x:c r="L27" s="3"/>
      <x:c r="M27" s="3"/>
      <x:c r="N27" s="3"/>
      <x:c r="O27" s="3"/>
      <x:c r="P27" s="3"/>
      <x:c r="Q27" s="3"/>
      <x:c r="R27" s="3"/>
      <x:c r="S27" s="3"/>
      <x:c r="T27" s="3"/>
      <x:c r="U27" s="3"/>
    </x:row>
  </x:sheetData>
  <x:pageMargins left="0.7" right="0.7" top="0.75" bottom="0.75" header="0.3" footer="0.3"/>
</x:worksheet>
</file>