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373a9afab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" sheetId="1" r:id="R898eec42722443e2"/>
    <x:sheet xmlns:r="http://schemas.openxmlformats.org/officeDocument/2006/relationships" name="Projetos" sheetId="2" r:id="Rb0d7e9ececbd429a"/>
    <x:sheet xmlns:r="http://schemas.openxmlformats.org/officeDocument/2006/relationships" name="Caixa" sheetId="3" r:id="R1feaf7198d544aa6"/>
    <x:sheet xmlns:r="http://schemas.openxmlformats.org/officeDocument/2006/relationships" name="Movimentos" sheetId="4" r:id="R03f4e8e400cb43cb"/>
    <x:sheet xmlns:r="http://schemas.openxmlformats.org/officeDocument/2006/relationships" name="Resultado mensal" sheetId="5" r:id="Rfa23a1a51ddf43f0"/>
    <x:sheet xmlns:r="http://schemas.openxmlformats.org/officeDocument/2006/relationships" name="Inauguração" sheetId="6" r:id="Rb41901c58e7b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&quot;R$&quot; #,##0.00"/>
    <x:numFmt numFmtId="202" formatCode="dd/mm/yyyy"/>
    <x:numFmt numFmtId="203" formatCode="mm/yyyy"/>
  </x:numFmts>
  <x:fonts count="3">
    <x:font>
      <x:sz val="11"/>
      <x:name val="Carlito"/>
    </x:font>
    <x:font>
      <x:b/>
      <x:sz val="16"/>
      <x:color rgb="FF07266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7266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2ba078a644c98" /><Relationship Type="http://schemas.openxmlformats.org/officeDocument/2006/relationships/theme" Target="/xl/theme/theme1.xml" Id="Re6edf687c1fd49fd" /><Relationship Type="http://schemas.openxmlformats.org/officeDocument/2006/relationships/sharedStrings" Target="/xl/sharedStrings.xml" Id="R21419fa990f14c80" /><Relationship Type="http://schemas.openxmlformats.org/officeDocument/2006/relationships/worksheet" Target="/xl/worksheets/sheet1.xml" Id="R898eec42722443e2" /><Relationship Type="http://schemas.openxmlformats.org/officeDocument/2006/relationships/worksheet" Target="/xl/worksheets/sheet2.xml" Id="Rb0d7e9ececbd429a" /><Relationship Type="http://schemas.openxmlformats.org/officeDocument/2006/relationships/worksheet" Target="/xl/worksheets/sheet3.xml" Id="R1feaf7198d544aa6" /><Relationship Type="http://schemas.openxmlformats.org/officeDocument/2006/relationships/worksheet" Target="/xl/worksheets/sheet4.xml" Id="R03f4e8e400cb43cb" /><Relationship Type="http://schemas.openxmlformats.org/officeDocument/2006/relationships/worksheet" Target="/xl/worksheets/sheet5.xml" Id="Rfa23a1a51ddf43f0" /><Relationship Type="http://schemas.openxmlformats.org/officeDocument/2006/relationships/worksheet" Target="/xl/worksheets/sheet6.xml" Id="Rb41901c58e7b4c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3" hidden="0" customWidth="1"/>
    <x:col min="3" max="3" width="78" hidden="0" customWidth="1"/>
  </x:cols>
  <x:sheetData>
    <x:row r="1">
      <x:c r="A1" s="1" t="str">
        <x:v>MARCATTA | Visão</x:v>
      </x:c>
    </x:row>
    <x:row r="3" ht="32" customHeight="1">
      <x:c r="A3" s="5" t="str">
        <x:v>Indicador</x:v>
      </x:c>
      <x:c r="B3" s="5" t="str">
        <x:v>Resultado</x:v>
      </x:c>
      <x:c r="C3" s="5" t="str">
        <x:v>Interpretação</x:v>
      </x:c>
    </x:row>
    <x:row r="4">
      <x:c r="A4" t="str">
        <x:v>Projetos com dados completos</x:v>
      </x:c>
      <x:c r="B4" t="n">
        <x:f>COUNTIF(Projetos!V4:V103,"Completo")</x:f>
        <x:v>0</x:v>
      </x:c>
      <x:c r="C4" t="str">
        <x:v>Linhas com receita e todos os custos e taxas informados.</x:v>
      </x:c>
    </x:row>
    <x:row r="5">
      <x:c r="A5" t="str">
        <x:v>Receita dos projetos completos</x:v>
      </x:c>
      <x:c r="B5" t="str">
        <x:f>IF(B4=0,"",SUM(Projetos!R4:R103))</x:f>
      </x:c>
      <x:c r="C5" t="str">
        <x:v>Soma somente de projetos completos.</x:v>
      </x:c>
    </x:row>
    <x:row r="6">
      <x:c r="A6" t="str">
        <x:v>Contribuição dos projetos completos</x:v>
      </x:c>
      <x:c r="B6" t="str">
        <x:f>IF(B4=0,"",SUM(Projetos!S4:S103))</x:f>
      </x:c>
      <x:c r="C6" t="str">
        <x:v>Receita menos custo direto e despesas variáveis; antes de despesas fixas.</x:v>
      </x:c>
    </x:row>
    <x:row r="7">
      <x:c r="A7" t="str">
        <x:v>Margem de contribuição agregada</x:v>
      </x:c>
      <x:c r="B7" t="str">
        <x:f>IF(OR(B4=0,B5=0),"",B6/B5)</x:f>
      </x:c>
      <x:c r="C7" t="str">
        <x:v>Contribuição total ÷ receita dos mesmos projetos.</x:v>
      </x:c>
    </x:row>
    <x:row r="8">
      <x:c r="A8" t="str">
        <x:v>Caixa inicial informado</x:v>
      </x:c>
      <x:c r="B8" t="str">
        <x:f>IF(Caixa!B4="","",Caixa!B4)</x:f>
      </x:c>
      <x:c r="C8" t="str">
        <x:v>Editar diretamente na aba Caixa.</x:v>
      </x:c>
    </x:row>
    <x:row r="9">
      <x:c r="A9" t="str">
        <x:v>Saldo projetado ao fim de 13 semanas</x:v>
      </x:c>
      <x:c r="B9" t="str">
        <x:f>IF(Caixa!E17="","",Caixa!E17)</x:f>
      </x:c>
      <x:c r="C9" t="str">
        <x:v>Considera recebimentos e desembolsos lançados por data.</x:v>
      </x:c>
    </x:row>
    <x:row r="10">
      <x:c r="A10" t="str">
        <x:v>Projetos com dados pendentes</x:v>
      </x:c>
      <x:c r="B10" t="n">
        <x:f>COUNTIF(Projetos!V4:V103,"Pendente")</x:f>
        <x:v>0</x:v>
      </x:c>
      <x:c r="C10" t="str">
        <x:v>Há campo essencial não informado; zero é valor comprovado.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5" hidden="0" customWidth="1"/>
    <x:col min="4" max="4" width="17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6" hidden="0" customWidth="1"/>
    <x:col min="18" max="18" width="18" hidden="0" customWidth="1"/>
    <x:col min="19" max="19" width="19" hidden="0" customWidth="1"/>
    <x:col min="20" max="20" width="15" hidden="0" customWidth="1"/>
    <x:col min="21" max="21" width="18" hidden="0" customWidth="1"/>
    <x:col min="22" max="22" width="19" hidden="0" customWidth="1"/>
    <x:col min="23" max="23" width="33" hidden="0" customWidth="1"/>
    <x:col min="24" max="24" width="25" hidden="0" customWidth="1"/>
  </x:cols>
  <x:sheetData>
    <x:row r="1">
      <x:c r="A1" s="1" t="str">
        <x:v>MARCATTA | Projetos</x:v>
      </x:c>
    </x:row>
    <x:row r="3" ht="32" customHeight="1">
      <x:c r="A3" s="5" t="str">
        <x:v>Pedido ID</x:v>
      </x:c>
      <x:c r="B3" s="5" t="str">
        <x:v>Canal</x:v>
      </x:c>
      <x:c r="C3" s="5" t="str">
        <x:v>Cliente</x:v>
      </x:c>
      <x:c r="D3" s="5" t="str">
        <x:v>Data pedido</x:v>
      </x:c>
      <x:c r="E3" s="5" t="str">
        <x:v>Receita bruta</x:v>
      </x:c>
      <x:c r="F3" s="5" t="str">
        <x:v>Produção</x:v>
      </x:c>
      <x:c r="G3" s="5" t="str">
        <x:v>Personalização</x:v>
      </x:c>
      <x:c r="H3" s="5" t="str">
        <x:v>Arte e prova</x:v>
      </x:c>
      <x:c r="I3" s="5" t="str">
        <x:v>Embalagem</x:v>
      </x:c>
      <x:c r="J3" s="5" t="str">
        <x:v>Montagem</x:v>
      </x:c>
      <x:c r="K3" s="5" t="str">
        <x:v>Frete entrada</x:v>
      </x:c>
      <x:c r="L3" s="5" t="str">
        <x:v>Frete saída</x:v>
      </x:c>
      <x:c r="M3" s="5" t="str">
        <x:v>Perdas previstas</x:v>
      </x:c>
      <x:c r="N3" s="5" t="str">
        <x:v>Trabalho variável</x:v>
      </x:c>
      <x:c r="O3" s="5" t="str">
        <x:v>Tributo %</x:v>
      </x:c>
      <x:c r="P3" s="5" t="str">
        <x:v>Taxas %</x:v>
      </x:c>
      <x:c r="Q3" s="5" t="str">
        <x:v>Comissão %</x:v>
      </x:c>
      <x:c r="R3" s="5" t="str">
        <x:v>Receita apta</x:v>
      </x:c>
      <x:c r="S3" s="5" t="str">
        <x:v>Contribuição</x:v>
      </x:c>
      <x:c r="T3" s="5" t="str">
        <x:v>Margem %</x:v>
      </x:c>
      <x:c r="U3" s="5" t="str">
        <x:v>Preço piso</x:v>
      </x:c>
      <x:c r="V3" s="5" t="str">
        <x:v>Status dados</x:v>
      </x:c>
      <x:c r="W3" s="5" t="str">
        <x:v>Fonte / cotação</x:v>
      </x:c>
      <x:c r="X3" s="5" t="str">
        <x:v>Responsável aprovação</x:v>
      </x:c>
    </x:row>
    <x:row r="4"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6"/>
      <x:c r="P4" s="6"/>
      <x:c r="Q4" s="6"/>
      <x:c r="R4" s="7" t="str">
        <x:f>IF(V4="Completo",E4,"")</x:f>
      </x:c>
      <x:c r="S4" s="7" t="str">
        <x:f>IF(V4="Completo",E4*(1-O4-P4-Q4)-SUM(F4:N4),"")</x:f>
      </x:c>
      <x:c r="T4" s="6" t="str">
        <x:f>IF(OR(V4&lt;&gt;"Completo",E4=0),"",S4/E4)</x:f>
      </x:c>
      <x:c r="U4" s="7" t="str">
        <x:f>IF(OR(V4&lt;&gt;"Completo",1-O4-P4-Q4&lt;=0),"",SUM(F4:N4)/(1-O4-P4-Q4))</x:f>
      </x:c>
      <x:c r="V4" t="str">
        <x:f>IF(A4="","",IF(COUNT(E4:Q4)=13,"Completo","Pendente"))</x:f>
      </x:c>
    </x:row>
    <x:row r="5"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6"/>
      <x:c r="P5" s="6"/>
      <x:c r="Q5" s="6"/>
      <x:c r="R5" s="7" t="str">
        <x:f>IF(V5="Completo",E5,"")</x:f>
      </x:c>
      <x:c r="S5" s="7" t="str">
        <x:f>IF(V5="Completo",E5*(1-O5-P5-Q5)-SUM(F5:N5),"")</x:f>
      </x:c>
      <x:c r="T5" s="6" t="str">
        <x:f>IF(OR(V5&lt;&gt;"Completo",E5=0),"",S5/E5)</x:f>
      </x:c>
      <x:c r="U5" s="7" t="str">
        <x:f>IF(OR(V5&lt;&gt;"Completo",1-O5-P5-Q5&lt;=0),"",SUM(F5:N5)/(1-O5-P5-Q5))</x:f>
      </x:c>
      <x:c r="V5" t="str">
        <x:f>IF(A5="","",IF(COUNT(E5:Q5)=13,"Completo","Pendente"))</x:f>
      </x:c>
    </x:row>
    <x:row r="6"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6"/>
      <x:c r="P6" s="6"/>
      <x:c r="Q6" s="6"/>
      <x:c r="R6" s="7" t="str">
        <x:f>IF(V6="Completo",E6,"")</x:f>
      </x:c>
      <x:c r="S6" s="7" t="str">
        <x:f>IF(V6="Completo",E6*(1-O6-P6-Q6)-SUM(F6:N6),"")</x:f>
      </x:c>
      <x:c r="T6" s="6" t="str">
        <x:f>IF(OR(V6&lt;&gt;"Completo",E6=0),"",S6/E6)</x:f>
      </x:c>
      <x:c r="U6" s="7" t="str">
        <x:f>IF(OR(V6&lt;&gt;"Completo",1-O6-P6-Q6&lt;=0),"",SUM(F6:N6)/(1-O6-P6-Q6))</x:f>
      </x:c>
      <x:c r="V6" t="str">
        <x:f>IF(A6="","",IF(COUNT(E6:Q6)=13,"Completo","Pendente"))</x:f>
      </x:c>
    </x:row>
    <x:row r="7"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6"/>
      <x:c r="P7" s="6"/>
      <x:c r="Q7" s="6"/>
      <x:c r="R7" s="7" t="str">
        <x:f>IF(V7="Completo",E7,"")</x:f>
      </x:c>
      <x:c r="S7" s="7" t="str">
        <x:f>IF(V7="Completo",E7*(1-O7-P7-Q7)-SUM(F7:N7),"")</x:f>
      </x:c>
      <x:c r="T7" s="6" t="str">
        <x:f>IF(OR(V7&lt;&gt;"Completo",E7=0),"",S7/E7)</x:f>
      </x:c>
      <x:c r="U7" s="7" t="str">
        <x:f>IF(OR(V7&lt;&gt;"Completo",1-O7-P7-Q7&lt;=0),"",SUM(F7:N7)/(1-O7-P7-Q7))</x:f>
      </x:c>
      <x:c r="V7" t="str">
        <x:f>IF(A7="","",IF(COUNT(E7:Q7)=13,"Completo","Pendente"))</x:f>
      </x:c>
    </x:row>
    <x:row r="8"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6"/>
      <x:c r="P8" s="6"/>
      <x:c r="Q8" s="6"/>
      <x:c r="R8" s="7" t="str">
        <x:f>IF(V8="Completo",E8,"")</x:f>
      </x:c>
      <x:c r="S8" s="7" t="str">
        <x:f>IF(V8="Completo",E8*(1-O8-P8-Q8)-SUM(F8:N8),"")</x:f>
      </x:c>
      <x:c r="T8" s="6" t="str">
        <x:f>IF(OR(V8&lt;&gt;"Completo",E8=0),"",S8/E8)</x:f>
      </x:c>
      <x:c r="U8" s="7" t="str">
        <x:f>IF(OR(V8&lt;&gt;"Completo",1-O8-P8-Q8&lt;=0),"",SUM(F8:N8)/(1-O8-P8-Q8))</x:f>
      </x:c>
      <x:c r="V8" t="str">
        <x:f>IF(A8="","",IF(COUNT(E8:Q8)=13,"Completo","Pendente"))</x:f>
      </x:c>
    </x:row>
    <x:row r="9"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6"/>
      <x:c r="P9" s="6"/>
      <x:c r="Q9" s="6"/>
      <x:c r="R9" s="7" t="str">
        <x:f>IF(V9="Completo",E9,"")</x:f>
      </x:c>
      <x:c r="S9" s="7" t="str">
        <x:f>IF(V9="Completo",E9*(1-O9-P9-Q9)-SUM(F9:N9),"")</x:f>
      </x:c>
      <x:c r="T9" s="6" t="str">
        <x:f>IF(OR(V9&lt;&gt;"Completo",E9=0),"",S9/E9)</x:f>
      </x:c>
      <x:c r="U9" s="7" t="str">
        <x:f>IF(OR(V9&lt;&gt;"Completo",1-O9-P9-Q9&lt;=0),"",SUM(F9:N9)/(1-O9-P9-Q9))</x:f>
      </x:c>
      <x:c r="V9" t="str">
        <x:f>IF(A9="","",IF(COUNT(E9:Q9)=13,"Completo","Pendente"))</x:f>
      </x:c>
    </x:row>
    <x:row r="10"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6"/>
      <x:c r="P10" s="6"/>
      <x:c r="Q10" s="6"/>
      <x:c r="R10" s="7" t="str">
        <x:f>IF(V10="Completo",E10,"")</x:f>
      </x:c>
      <x:c r="S10" s="7" t="str">
        <x:f>IF(V10="Completo",E10*(1-O10-P10-Q10)-SUM(F10:N10),"")</x:f>
      </x:c>
      <x:c r="T10" s="6" t="str">
        <x:f>IF(OR(V10&lt;&gt;"Completo",E10=0),"",S10/E10)</x:f>
      </x:c>
      <x:c r="U10" s="7" t="str">
        <x:f>IF(OR(V10&lt;&gt;"Completo",1-O10-P10-Q10&lt;=0),"",SUM(F10:N10)/(1-O10-P10-Q10))</x:f>
      </x:c>
      <x:c r="V10" t="str">
        <x:f>IF(A10="","",IF(COUNT(E10:Q10)=13,"Completo","Pendente"))</x:f>
      </x:c>
    </x:row>
    <x:row r="11"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6"/>
      <x:c r="P11" s="6"/>
      <x:c r="Q11" s="6"/>
      <x:c r="R11" s="7" t="str">
        <x:f>IF(V11="Completo",E11,"")</x:f>
      </x:c>
      <x:c r="S11" s="7" t="str">
        <x:f>IF(V11="Completo",E11*(1-O11-P11-Q11)-SUM(F11:N11),"")</x:f>
      </x:c>
      <x:c r="T11" s="6" t="str">
        <x:f>IF(OR(V11&lt;&gt;"Completo",E11=0),"",S11/E11)</x:f>
      </x:c>
      <x:c r="U11" s="7" t="str">
        <x:f>IF(OR(V11&lt;&gt;"Completo",1-O11-P11-Q11&lt;=0),"",SUM(F11:N11)/(1-O11-P11-Q11))</x:f>
      </x:c>
      <x:c r="V11" t="str">
        <x:f>IF(A11="","",IF(COUNT(E11:Q11)=13,"Completo","Pendente"))</x:f>
      </x:c>
    </x:row>
    <x:row r="12"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6"/>
      <x:c r="P12" s="6"/>
      <x:c r="Q12" s="6"/>
      <x:c r="R12" s="7" t="str">
        <x:f>IF(V12="Completo",E12,"")</x:f>
      </x:c>
      <x:c r="S12" s="7" t="str">
        <x:f>IF(V12="Completo",E12*(1-O12-P12-Q12)-SUM(F12:N12),"")</x:f>
      </x:c>
      <x:c r="T12" s="6" t="str">
        <x:f>IF(OR(V12&lt;&gt;"Completo",E12=0),"",S12/E12)</x:f>
      </x:c>
      <x:c r="U12" s="7" t="str">
        <x:f>IF(OR(V12&lt;&gt;"Completo",1-O12-P12-Q12&lt;=0),"",SUM(F12:N12)/(1-O12-P12-Q12))</x:f>
      </x:c>
      <x:c r="V12" t="str">
        <x:f>IF(A12="","",IF(COUNT(E12:Q12)=13,"Completo","Pendente"))</x:f>
      </x:c>
    </x:row>
    <x:row r="13"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6"/>
      <x:c r="P13" s="6"/>
      <x:c r="Q13" s="6"/>
      <x:c r="R13" s="7" t="str">
        <x:f>IF(V13="Completo",E13,"")</x:f>
      </x:c>
      <x:c r="S13" s="7" t="str">
        <x:f>IF(V13="Completo",E13*(1-O13-P13-Q13)-SUM(F13:N13),"")</x:f>
      </x:c>
      <x:c r="T13" s="6" t="str">
        <x:f>IF(OR(V13&lt;&gt;"Completo",E13=0),"",S13/E13)</x:f>
      </x:c>
      <x:c r="U13" s="7" t="str">
        <x:f>IF(OR(V13&lt;&gt;"Completo",1-O13-P13-Q13&lt;=0),"",SUM(F13:N13)/(1-O13-P13-Q13))</x:f>
      </x:c>
      <x:c r="V13" t="str">
        <x:f>IF(A13="","",IF(COUNT(E13:Q13)=13,"Completo","Pendente"))</x:f>
      </x:c>
    </x:row>
    <x:row r="14"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6"/>
      <x:c r="P14" s="6"/>
      <x:c r="Q14" s="6"/>
      <x:c r="R14" s="7" t="str">
        <x:f>IF(V14="Completo",E14,"")</x:f>
      </x:c>
      <x:c r="S14" s="7" t="str">
        <x:f>IF(V14="Completo",E14*(1-O14-P14-Q14)-SUM(F14:N14),"")</x:f>
      </x:c>
      <x:c r="T14" s="6" t="str">
        <x:f>IF(OR(V14&lt;&gt;"Completo",E14=0),"",S14/E14)</x:f>
      </x:c>
      <x:c r="U14" s="7" t="str">
        <x:f>IF(OR(V14&lt;&gt;"Completo",1-O14-P14-Q14&lt;=0),"",SUM(F14:N14)/(1-O14-P14-Q14))</x:f>
      </x:c>
      <x:c r="V14" t="str">
        <x:f>IF(A14="","",IF(COUNT(E14:Q14)=13,"Completo","Pendente"))</x:f>
      </x:c>
    </x:row>
    <x:row r="15"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6"/>
      <x:c r="P15" s="6"/>
      <x:c r="Q15" s="6"/>
      <x:c r="R15" s="7" t="str">
        <x:f>IF(V15="Completo",E15,"")</x:f>
      </x:c>
      <x:c r="S15" s="7" t="str">
        <x:f>IF(V15="Completo",E15*(1-O15-P15-Q15)-SUM(F15:N15),"")</x:f>
      </x:c>
      <x:c r="T15" s="6" t="str">
        <x:f>IF(OR(V15&lt;&gt;"Completo",E15=0),"",S15/E15)</x:f>
      </x:c>
      <x:c r="U15" s="7" t="str">
        <x:f>IF(OR(V15&lt;&gt;"Completo",1-O15-P15-Q15&lt;=0),"",SUM(F15:N15)/(1-O15-P15-Q15))</x:f>
      </x:c>
      <x:c r="V15" t="str">
        <x:f>IF(A15="","",IF(COUNT(E15:Q15)=13,"Completo","Pendente"))</x:f>
      </x:c>
    </x:row>
    <x:row r="16"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6"/>
      <x:c r="P16" s="6"/>
      <x:c r="Q16" s="6"/>
      <x:c r="R16" s="7" t="str">
        <x:f>IF(V16="Completo",E16,"")</x:f>
      </x:c>
      <x:c r="S16" s="7" t="str">
        <x:f>IF(V16="Completo",E16*(1-O16-P16-Q16)-SUM(F16:N16),"")</x:f>
      </x:c>
      <x:c r="T16" s="6" t="str">
        <x:f>IF(OR(V16&lt;&gt;"Completo",E16=0),"",S16/E16)</x:f>
      </x:c>
      <x:c r="U16" s="7" t="str">
        <x:f>IF(OR(V16&lt;&gt;"Completo",1-O16-P16-Q16&lt;=0),"",SUM(F16:N16)/(1-O16-P16-Q16))</x:f>
      </x:c>
      <x:c r="V16" t="str">
        <x:f>IF(A16="","",IF(COUNT(E16:Q16)=13,"Completo","Pendente"))</x:f>
      </x:c>
    </x:row>
    <x:row r="17"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6"/>
      <x:c r="P17" s="6"/>
      <x:c r="Q17" s="6"/>
      <x:c r="R17" s="7" t="str">
        <x:f>IF(V17="Completo",E17,"")</x:f>
      </x:c>
      <x:c r="S17" s="7" t="str">
        <x:f>IF(V17="Completo",E17*(1-O17-P17-Q17)-SUM(F17:N17),"")</x:f>
      </x:c>
      <x:c r="T17" s="6" t="str">
        <x:f>IF(OR(V17&lt;&gt;"Completo",E17=0),"",S17/E17)</x:f>
      </x:c>
      <x:c r="U17" s="7" t="str">
        <x:f>IF(OR(V17&lt;&gt;"Completo",1-O17-P17-Q17&lt;=0),"",SUM(F17:N17)/(1-O17-P17-Q17))</x:f>
      </x:c>
      <x:c r="V17" t="str">
        <x:f>IF(A17="","",IF(COUNT(E17:Q17)=13,"Completo","Pendente"))</x:f>
      </x:c>
    </x:row>
    <x:row r="18"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6"/>
      <x:c r="P18" s="6"/>
      <x:c r="Q18" s="6"/>
      <x:c r="R18" s="7" t="str">
        <x:f>IF(V18="Completo",E18,"")</x:f>
      </x:c>
      <x:c r="S18" s="7" t="str">
        <x:f>IF(V18="Completo",E18*(1-O18-P18-Q18)-SUM(F18:N18),"")</x:f>
      </x:c>
      <x:c r="T18" s="6" t="str">
        <x:f>IF(OR(V18&lt;&gt;"Completo",E18=0),"",S18/E18)</x:f>
      </x:c>
      <x:c r="U18" s="7" t="str">
        <x:f>IF(OR(V18&lt;&gt;"Completo",1-O18-P18-Q18&lt;=0),"",SUM(F18:N18)/(1-O18-P18-Q18))</x:f>
      </x:c>
      <x:c r="V18" t="str">
        <x:f>IF(A18="","",IF(COUNT(E18:Q18)=13,"Completo","Pendente"))</x:f>
      </x:c>
    </x:row>
    <x:row r="19"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6"/>
      <x:c r="P19" s="6"/>
      <x:c r="Q19" s="6"/>
      <x:c r="R19" s="7" t="str">
        <x:f>IF(V19="Completo",E19,"")</x:f>
      </x:c>
      <x:c r="S19" s="7" t="str">
        <x:f>IF(V19="Completo",E19*(1-O19-P19-Q19)-SUM(F19:N19),"")</x:f>
      </x:c>
      <x:c r="T19" s="6" t="str">
        <x:f>IF(OR(V19&lt;&gt;"Completo",E19=0),"",S19/E19)</x:f>
      </x:c>
      <x:c r="U19" s="7" t="str">
        <x:f>IF(OR(V19&lt;&gt;"Completo",1-O19-P19-Q19&lt;=0),"",SUM(F19:N19)/(1-O19-P19-Q19))</x:f>
      </x:c>
      <x:c r="V19" t="str">
        <x:f>IF(A19="","",IF(COUNT(E19:Q19)=13,"Completo","Pendente"))</x:f>
      </x:c>
    </x:row>
    <x:row r="20"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6"/>
      <x:c r="P20" s="6"/>
      <x:c r="Q20" s="6"/>
      <x:c r="R20" s="7" t="str">
        <x:f>IF(V20="Completo",E20,"")</x:f>
      </x:c>
      <x:c r="S20" s="7" t="str">
        <x:f>IF(V20="Completo",E20*(1-O20-P20-Q20)-SUM(F20:N20),"")</x:f>
      </x:c>
      <x:c r="T20" s="6" t="str">
        <x:f>IF(OR(V20&lt;&gt;"Completo",E20=0),"",S20/E20)</x:f>
      </x:c>
      <x:c r="U20" s="7" t="str">
        <x:f>IF(OR(V20&lt;&gt;"Completo",1-O20-P20-Q20&lt;=0),"",SUM(F20:N20)/(1-O20-P20-Q20))</x:f>
      </x:c>
      <x:c r="V20" t="str">
        <x:f>IF(A20="","",IF(COUNT(E20:Q20)=13,"Completo","Pendente"))</x:f>
      </x:c>
    </x:row>
    <x:row r="21"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6"/>
      <x:c r="P21" s="6"/>
      <x:c r="Q21" s="6"/>
      <x:c r="R21" s="7" t="str">
        <x:f>IF(V21="Completo",E21,"")</x:f>
      </x:c>
      <x:c r="S21" s="7" t="str">
        <x:f>IF(V21="Completo",E21*(1-O21-P21-Q21)-SUM(F21:N21),"")</x:f>
      </x:c>
      <x:c r="T21" s="6" t="str">
        <x:f>IF(OR(V21&lt;&gt;"Completo",E21=0),"",S21/E21)</x:f>
      </x:c>
      <x:c r="U21" s="7" t="str">
        <x:f>IF(OR(V21&lt;&gt;"Completo",1-O21-P21-Q21&lt;=0),"",SUM(F21:N21)/(1-O21-P21-Q21))</x:f>
      </x:c>
      <x:c r="V21" t="str">
        <x:f>IF(A21="","",IF(COUNT(E21:Q21)=13,"Completo","Pendente"))</x:f>
      </x:c>
    </x:row>
    <x:row r="22"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6"/>
      <x:c r="P22" s="6"/>
      <x:c r="Q22" s="6"/>
      <x:c r="R22" s="7" t="str">
        <x:f>IF(V22="Completo",E22,"")</x:f>
      </x:c>
      <x:c r="S22" s="7" t="str">
        <x:f>IF(V22="Completo",E22*(1-O22-P22-Q22)-SUM(F22:N22),"")</x:f>
      </x:c>
      <x:c r="T22" s="6" t="str">
        <x:f>IF(OR(V22&lt;&gt;"Completo",E22=0),"",S22/E22)</x:f>
      </x:c>
      <x:c r="U22" s="7" t="str">
        <x:f>IF(OR(V22&lt;&gt;"Completo",1-O22-P22-Q22&lt;=0),"",SUM(F22:N22)/(1-O22-P22-Q22))</x:f>
      </x:c>
      <x:c r="V22" t="str">
        <x:f>IF(A22="","",IF(COUNT(E22:Q22)=13,"Completo","Pendente"))</x:f>
      </x:c>
    </x:row>
    <x:row r="23"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6"/>
      <x:c r="P23" s="6"/>
      <x:c r="Q23" s="6"/>
      <x:c r="R23" s="7" t="str">
        <x:f>IF(V23="Completo",E23,"")</x:f>
      </x:c>
      <x:c r="S23" s="7" t="str">
        <x:f>IF(V23="Completo",E23*(1-O23-P23-Q23)-SUM(F23:N23),"")</x:f>
      </x:c>
      <x:c r="T23" s="6" t="str">
        <x:f>IF(OR(V23&lt;&gt;"Completo",E23=0),"",S23/E23)</x:f>
      </x:c>
      <x:c r="U23" s="7" t="str">
        <x:f>IF(OR(V23&lt;&gt;"Completo",1-O23-P23-Q23&lt;=0),"",SUM(F23:N23)/(1-O23-P23-Q23))</x:f>
      </x:c>
      <x:c r="V23" t="str">
        <x:f>IF(A23="","",IF(COUNT(E23:Q23)=13,"Completo","Pendente"))</x:f>
      </x:c>
    </x:row>
    <x:row r="24"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6"/>
      <x:c r="P24" s="6"/>
      <x:c r="Q24" s="6"/>
      <x:c r="R24" s="7" t="str">
        <x:f>IF(V24="Completo",E24,"")</x:f>
      </x:c>
      <x:c r="S24" s="7" t="str">
        <x:f>IF(V24="Completo",E24*(1-O24-P24-Q24)-SUM(F24:N24),"")</x:f>
      </x:c>
      <x:c r="T24" s="6" t="str">
        <x:f>IF(OR(V24&lt;&gt;"Completo",E24=0),"",S24/E24)</x:f>
      </x:c>
      <x:c r="U24" s="7" t="str">
        <x:f>IF(OR(V24&lt;&gt;"Completo",1-O24-P24-Q24&lt;=0),"",SUM(F24:N24)/(1-O24-P24-Q24))</x:f>
      </x:c>
      <x:c r="V24" t="str">
        <x:f>IF(A24="","",IF(COUNT(E24:Q24)=13,"Completo","Pendente"))</x:f>
      </x:c>
    </x:row>
    <x:row r="25"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6"/>
      <x:c r="P25" s="6"/>
      <x:c r="Q25" s="6"/>
      <x:c r="R25" s="7" t="str">
        <x:f>IF(V25="Completo",E25,"")</x:f>
      </x:c>
      <x:c r="S25" s="7" t="str">
        <x:f>IF(V25="Completo",E25*(1-O25-P25-Q25)-SUM(F25:N25),"")</x:f>
      </x:c>
      <x:c r="T25" s="6" t="str">
        <x:f>IF(OR(V25&lt;&gt;"Completo",E25=0),"",S25/E25)</x:f>
      </x:c>
      <x:c r="U25" s="7" t="str">
        <x:f>IF(OR(V25&lt;&gt;"Completo",1-O25-P25-Q25&lt;=0),"",SUM(F25:N25)/(1-O25-P25-Q25))</x:f>
      </x:c>
      <x:c r="V25" t="str">
        <x:f>IF(A25="","",IF(COUNT(E25:Q25)=13,"Completo","Pendente"))</x:f>
      </x:c>
    </x:row>
    <x:row r="26"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6"/>
      <x:c r="P26" s="6"/>
      <x:c r="Q26" s="6"/>
      <x:c r="R26" s="7" t="str">
        <x:f>IF(V26="Completo",E26,"")</x:f>
      </x:c>
      <x:c r="S26" s="7" t="str">
        <x:f>IF(V26="Completo",E26*(1-O26-P26-Q26)-SUM(F26:N26),"")</x:f>
      </x:c>
      <x:c r="T26" s="6" t="str">
        <x:f>IF(OR(V26&lt;&gt;"Completo",E26=0),"",S26/E26)</x:f>
      </x:c>
      <x:c r="U26" s="7" t="str">
        <x:f>IF(OR(V26&lt;&gt;"Completo",1-O26-P26-Q26&lt;=0),"",SUM(F26:N26)/(1-O26-P26-Q26))</x:f>
      </x:c>
      <x:c r="V26" t="str">
        <x:f>IF(A26="","",IF(COUNT(E26:Q26)=13,"Completo","Pendente"))</x:f>
      </x:c>
    </x:row>
    <x:row r="27"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6"/>
      <x:c r="P27" s="6"/>
      <x:c r="Q27" s="6"/>
      <x:c r="R27" s="7" t="str">
        <x:f>IF(V27="Completo",E27,"")</x:f>
      </x:c>
      <x:c r="S27" s="7" t="str">
        <x:f>IF(V27="Completo",E27*(1-O27-P27-Q27)-SUM(F27:N27),"")</x:f>
      </x:c>
      <x:c r="T27" s="6" t="str">
        <x:f>IF(OR(V27&lt;&gt;"Completo",E27=0),"",S27/E27)</x:f>
      </x:c>
      <x:c r="U27" s="7" t="str">
        <x:f>IF(OR(V27&lt;&gt;"Completo",1-O27-P27-Q27&lt;=0),"",SUM(F27:N27)/(1-O27-P27-Q27))</x:f>
      </x:c>
      <x:c r="V27" t="str">
        <x:f>IF(A27="","",IF(COUNT(E27:Q27)=13,"Completo","Pendente"))</x:f>
      </x:c>
    </x:row>
    <x:row r="28"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6"/>
      <x:c r="P28" s="6"/>
      <x:c r="Q28" s="6"/>
      <x:c r="R28" s="7" t="str">
        <x:f>IF(V28="Completo",E28,"")</x:f>
      </x:c>
      <x:c r="S28" s="7" t="str">
        <x:f>IF(V28="Completo",E28*(1-O28-P28-Q28)-SUM(F28:N28),"")</x:f>
      </x:c>
      <x:c r="T28" s="6" t="str">
        <x:f>IF(OR(V28&lt;&gt;"Completo",E28=0),"",S28/E28)</x:f>
      </x:c>
      <x:c r="U28" s="7" t="str">
        <x:f>IF(OR(V28&lt;&gt;"Completo",1-O28-P28-Q28&lt;=0),"",SUM(F28:N28)/(1-O28-P28-Q28))</x:f>
      </x:c>
      <x:c r="V28" t="str">
        <x:f>IF(A28="","",IF(COUNT(E28:Q28)=13,"Completo","Pendente"))</x:f>
      </x:c>
    </x:row>
    <x:row r="29"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6"/>
      <x:c r="P29" s="6"/>
      <x:c r="Q29" s="6"/>
      <x:c r="R29" s="7" t="str">
        <x:f>IF(V29="Completo",E29,"")</x:f>
      </x:c>
      <x:c r="S29" s="7" t="str">
        <x:f>IF(V29="Completo",E29*(1-O29-P29-Q29)-SUM(F29:N29),"")</x:f>
      </x:c>
      <x:c r="T29" s="6" t="str">
        <x:f>IF(OR(V29&lt;&gt;"Completo",E29=0),"",S29/E29)</x:f>
      </x:c>
      <x:c r="U29" s="7" t="str">
        <x:f>IF(OR(V29&lt;&gt;"Completo",1-O29-P29-Q29&lt;=0),"",SUM(F29:N29)/(1-O29-P29-Q29))</x:f>
      </x:c>
      <x:c r="V29" t="str">
        <x:f>IF(A29="","",IF(COUNT(E29:Q29)=13,"Completo","Pendente"))</x:f>
      </x:c>
    </x:row>
    <x:row r="30"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6"/>
      <x:c r="P30" s="6"/>
      <x:c r="Q30" s="6"/>
      <x:c r="R30" s="7" t="str">
        <x:f>IF(V30="Completo",E30,"")</x:f>
      </x:c>
      <x:c r="S30" s="7" t="str">
        <x:f>IF(V30="Completo",E30*(1-O30-P30-Q30)-SUM(F30:N30),"")</x:f>
      </x:c>
      <x:c r="T30" s="6" t="str">
        <x:f>IF(OR(V30&lt;&gt;"Completo",E30=0),"",S30/E30)</x:f>
      </x:c>
      <x:c r="U30" s="7" t="str">
        <x:f>IF(OR(V30&lt;&gt;"Completo",1-O30-P30-Q30&lt;=0),"",SUM(F30:N30)/(1-O30-P30-Q30))</x:f>
      </x:c>
      <x:c r="V30" t="str">
        <x:f>IF(A30="","",IF(COUNT(E30:Q30)=13,"Completo","Pendente"))</x:f>
      </x:c>
    </x:row>
    <x:row r="31"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6"/>
      <x:c r="P31" s="6"/>
      <x:c r="Q31" s="6"/>
      <x:c r="R31" s="7" t="str">
        <x:f>IF(V31="Completo",E31,"")</x:f>
      </x:c>
      <x:c r="S31" s="7" t="str">
        <x:f>IF(V31="Completo",E31*(1-O31-P31-Q31)-SUM(F31:N31),"")</x:f>
      </x:c>
      <x:c r="T31" s="6" t="str">
        <x:f>IF(OR(V31&lt;&gt;"Completo",E31=0),"",S31/E31)</x:f>
      </x:c>
      <x:c r="U31" s="7" t="str">
        <x:f>IF(OR(V31&lt;&gt;"Completo",1-O31-P31-Q31&lt;=0),"",SUM(F31:N31)/(1-O31-P31-Q31))</x:f>
      </x:c>
      <x:c r="V31" t="str">
        <x:f>IF(A31="","",IF(COUNT(E31:Q31)=13,"Completo","Pendente"))</x:f>
      </x:c>
    </x:row>
    <x:row r="32"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6"/>
      <x:c r="P32" s="6"/>
      <x:c r="Q32" s="6"/>
      <x:c r="R32" s="7" t="str">
        <x:f>IF(V32="Completo",E32,"")</x:f>
      </x:c>
      <x:c r="S32" s="7" t="str">
        <x:f>IF(V32="Completo",E32*(1-O32-P32-Q32)-SUM(F32:N32),"")</x:f>
      </x:c>
      <x:c r="T32" s="6" t="str">
        <x:f>IF(OR(V32&lt;&gt;"Completo",E32=0),"",S32/E32)</x:f>
      </x:c>
      <x:c r="U32" s="7" t="str">
        <x:f>IF(OR(V32&lt;&gt;"Completo",1-O32-P32-Q32&lt;=0),"",SUM(F32:N32)/(1-O32-P32-Q32))</x:f>
      </x:c>
      <x:c r="V32" t="str">
        <x:f>IF(A32="","",IF(COUNT(E32:Q32)=13,"Completo","Pendente"))</x:f>
      </x:c>
    </x:row>
    <x:row r="33"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6"/>
      <x:c r="P33" s="6"/>
      <x:c r="Q33" s="6"/>
      <x:c r="R33" s="7" t="str">
        <x:f>IF(V33="Completo",E33,"")</x:f>
      </x:c>
      <x:c r="S33" s="7" t="str">
        <x:f>IF(V33="Completo",E33*(1-O33-P33-Q33)-SUM(F33:N33),"")</x:f>
      </x:c>
      <x:c r="T33" s="6" t="str">
        <x:f>IF(OR(V33&lt;&gt;"Completo",E33=0),"",S33/E33)</x:f>
      </x:c>
      <x:c r="U33" s="7" t="str">
        <x:f>IF(OR(V33&lt;&gt;"Completo",1-O33-P33-Q33&lt;=0),"",SUM(F33:N33)/(1-O33-P33-Q33))</x:f>
      </x:c>
      <x:c r="V33" t="str">
        <x:f>IF(A33="","",IF(COUNT(E33:Q33)=13,"Completo","Pendente"))</x:f>
      </x:c>
    </x:row>
    <x:row r="34"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6"/>
      <x:c r="P34" s="6"/>
      <x:c r="Q34" s="6"/>
      <x:c r="R34" s="7" t="str">
        <x:f>IF(V34="Completo",E34,"")</x:f>
      </x:c>
      <x:c r="S34" s="7" t="str">
        <x:f>IF(V34="Completo",E34*(1-O34-P34-Q34)-SUM(F34:N34),"")</x:f>
      </x:c>
      <x:c r="T34" s="6" t="str">
        <x:f>IF(OR(V34&lt;&gt;"Completo",E34=0),"",S34/E34)</x:f>
      </x:c>
      <x:c r="U34" s="7" t="str">
        <x:f>IF(OR(V34&lt;&gt;"Completo",1-O34-P34-Q34&lt;=0),"",SUM(F34:N34)/(1-O34-P34-Q34))</x:f>
      </x:c>
      <x:c r="V34" t="str">
        <x:f>IF(A34="","",IF(COUNT(E34:Q34)=13,"Completo","Pendente"))</x:f>
      </x:c>
    </x:row>
    <x:row r="35"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6"/>
      <x:c r="P35" s="6"/>
      <x:c r="Q35" s="6"/>
      <x:c r="R35" s="7" t="str">
        <x:f>IF(V35="Completo",E35,"")</x:f>
      </x:c>
      <x:c r="S35" s="7" t="str">
        <x:f>IF(V35="Completo",E35*(1-O35-P35-Q35)-SUM(F35:N35),"")</x:f>
      </x:c>
      <x:c r="T35" s="6" t="str">
        <x:f>IF(OR(V35&lt;&gt;"Completo",E35=0),"",S35/E35)</x:f>
      </x:c>
      <x:c r="U35" s="7" t="str">
        <x:f>IF(OR(V35&lt;&gt;"Completo",1-O35-P35-Q35&lt;=0),"",SUM(F35:N35)/(1-O35-P35-Q35))</x:f>
      </x:c>
      <x:c r="V35" t="str">
        <x:f>IF(A35="","",IF(COUNT(E35:Q35)=13,"Completo","Pendente"))</x:f>
      </x:c>
    </x:row>
    <x:row r="36"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6"/>
      <x:c r="P36" s="6"/>
      <x:c r="Q36" s="6"/>
      <x:c r="R36" s="7" t="str">
        <x:f>IF(V36="Completo",E36,"")</x:f>
      </x:c>
      <x:c r="S36" s="7" t="str">
        <x:f>IF(V36="Completo",E36*(1-O36-P36-Q36)-SUM(F36:N36),"")</x:f>
      </x:c>
      <x:c r="T36" s="6" t="str">
        <x:f>IF(OR(V36&lt;&gt;"Completo",E36=0),"",S36/E36)</x:f>
      </x:c>
      <x:c r="U36" s="7" t="str">
        <x:f>IF(OR(V36&lt;&gt;"Completo",1-O36-P36-Q36&lt;=0),"",SUM(F36:N36)/(1-O36-P36-Q36))</x:f>
      </x:c>
      <x:c r="V36" t="str">
        <x:f>IF(A36="","",IF(COUNT(E36:Q36)=13,"Completo","Pendente"))</x:f>
      </x:c>
    </x:row>
    <x:row r="37"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6"/>
      <x:c r="P37" s="6"/>
      <x:c r="Q37" s="6"/>
      <x:c r="R37" s="7" t="str">
        <x:f>IF(V37="Completo",E37,"")</x:f>
      </x:c>
      <x:c r="S37" s="7" t="str">
        <x:f>IF(V37="Completo",E37*(1-O37-P37-Q37)-SUM(F37:N37),"")</x:f>
      </x:c>
      <x:c r="T37" s="6" t="str">
        <x:f>IF(OR(V37&lt;&gt;"Completo",E37=0),"",S37/E37)</x:f>
      </x:c>
      <x:c r="U37" s="7" t="str">
        <x:f>IF(OR(V37&lt;&gt;"Completo",1-O37-P37-Q37&lt;=0),"",SUM(F37:N37)/(1-O37-P37-Q37))</x:f>
      </x:c>
      <x:c r="V37" t="str">
        <x:f>IF(A37="","",IF(COUNT(E37:Q37)=13,"Completo","Pendente"))</x:f>
      </x:c>
    </x:row>
    <x:row r="38"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6"/>
      <x:c r="P38" s="6"/>
      <x:c r="Q38" s="6"/>
      <x:c r="R38" s="7" t="str">
        <x:f>IF(V38="Completo",E38,"")</x:f>
      </x:c>
      <x:c r="S38" s="7" t="str">
        <x:f>IF(V38="Completo",E38*(1-O38-P38-Q38)-SUM(F38:N38),"")</x:f>
      </x:c>
      <x:c r="T38" s="6" t="str">
        <x:f>IF(OR(V38&lt;&gt;"Completo",E38=0),"",S38/E38)</x:f>
      </x:c>
      <x:c r="U38" s="7" t="str">
        <x:f>IF(OR(V38&lt;&gt;"Completo",1-O38-P38-Q38&lt;=0),"",SUM(F38:N38)/(1-O38-P38-Q38))</x:f>
      </x:c>
      <x:c r="V38" t="str">
        <x:f>IF(A38="","",IF(COUNT(E38:Q38)=13,"Completo","Pendente"))</x:f>
      </x:c>
    </x:row>
    <x:row r="39"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6"/>
      <x:c r="P39" s="6"/>
      <x:c r="Q39" s="6"/>
      <x:c r="R39" s="7" t="str">
        <x:f>IF(V39="Completo",E39,"")</x:f>
      </x:c>
      <x:c r="S39" s="7" t="str">
        <x:f>IF(V39="Completo",E39*(1-O39-P39-Q39)-SUM(F39:N39),"")</x:f>
      </x:c>
      <x:c r="T39" s="6" t="str">
        <x:f>IF(OR(V39&lt;&gt;"Completo",E39=0),"",S39/E39)</x:f>
      </x:c>
      <x:c r="U39" s="7" t="str">
        <x:f>IF(OR(V39&lt;&gt;"Completo",1-O39-P39-Q39&lt;=0),"",SUM(F39:N39)/(1-O39-P39-Q39))</x:f>
      </x:c>
      <x:c r="V39" t="str">
        <x:f>IF(A39="","",IF(COUNT(E39:Q39)=13,"Completo","Pendente"))</x:f>
      </x:c>
    </x:row>
    <x:row r="40"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6"/>
      <x:c r="P40" s="6"/>
      <x:c r="Q40" s="6"/>
      <x:c r="R40" s="7" t="str">
        <x:f>IF(V40="Completo",E40,"")</x:f>
      </x:c>
      <x:c r="S40" s="7" t="str">
        <x:f>IF(V40="Completo",E40*(1-O40-P40-Q40)-SUM(F40:N40),"")</x:f>
      </x:c>
      <x:c r="T40" s="6" t="str">
        <x:f>IF(OR(V40&lt;&gt;"Completo",E40=0),"",S40/E40)</x:f>
      </x:c>
      <x:c r="U40" s="7" t="str">
        <x:f>IF(OR(V40&lt;&gt;"Completo",1-O40-P40-Q40&lt;=0),"",SUM(F40:N40)/(1-O40-P40-Q40))</x:f>
      </x:c>
      <x:c r="V40" t="str">
        <x:f>IF(A40="","",IF(COUNT(E40:Q40)=13,"Completo","Pendente"))</x:f>
      </x:c>
    </x:row>
    <x:row r="41"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6"/>
      <x:c r="P41" s="6"/>
      <x:c r="Q41" s="6"/>
      <x:c r="R41" s="7" t="str">
        <x:f>IF(V41="Completo",E41,"")</x:f>
      </x:c>
      <x:c r="S41" s="7" t="str">
        <x:f>IF(V41="Completo",E41*(1-O41-P41-Q41)-SUM(F41:N41),"")</x:f>
      </x:c>
      <x:c r="T41" s="6" t="str">
        <x:f>IF(OR(V41&lt;&gt;"Completo",E41=0),"",S41/E41)</x:f>
      </x:c>
      <x:c r="U41" s="7" t="str">
        <x:f>IF(OR(V41&lt;&gt;"Completo",1-O41-P41-Q41&lt;=0),"",SUM(F41:N41)/(1-O41-P41-Q41))</x:f>
      </x:c>
      <x:c r="V41" t="str">
        <x:f>IF(A41="","",IF(COUNT(E41:Q41)=13,"Completo","Pendente"))</x:f>
      </x:c>
    </x:row>
    <x:row r="42"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6"/>
      <x:c r="P42" s="6"/>
      <x:c r="Q42" s="6"/>
      <x:c r="R42" s="7" t="str">
        <x:f>IF(V42="Completo",E42,"")</x:f>
      </x:c>
      <x:c r="S42" s="7" t="str">
        <x:f>IF(V42="Completo",E42*(1-O42-P42-Q42)-SUM(F42:N42),"")</x:f>
      </x:c>
      <x:c r="T42" s="6" t="str">
        <x:f>IF(OR(V42&lt;&gt;"Completo",E42=0),"",S42/E42)</x:f>
      </x:c>
      <x:c r="U42" s="7" t="str">
        <x:f>IF(OR(V42&lt;&gt;"Completo",1-O42-P42-Q42&lt;=0),"",SUM(F42:N42)/(1-O42-P42-Q42))</x:f>
      </x:c>
      <x:c r="V42" t="str">
        <x:f>IF(A42="","",IF(COUNT(E42:Q42)=13,"Completo","Pendente"))</x:f>
      </x:c>
    </x:row>
    <x:row r="43"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6"/>
      <x:c r="P43" s="6"/>
      <x:c r="Q43" s="6"/>
      <x:c r="R43" s="7" t="str">
        <x:f>IF(V43="Completo",E43,"")</x:f>
      </x:c>
      <x:c r="S43" s="7" t="str">
        <x:f>IF(V43="Completo",E43*(1-O43-P43-Q43)-SUM(F43:N43),"")</x:f>
      </x:c>
      <x:c r="T43" s="6" t="str">
        <x:f>IF(OR(V43&lt;&gt;"Completo",E43=0),"",S43/E43)</x:f>
      </x:c>
      <x:c r="U43" s="7" t="str">
        <x:f>IF(OR(V43&lt;&gt;"Completo",1-O43-P43-Q43&lt;=0),"",SUM(F43:N43)/(1-O43-P43-Q43))</x:f>
      </x:c>
      <x:c r="V43" t="str">
        <x:f>IF(A43="","",IF(COUNT(E43:Q43)=13,"Completo","Pendente"))</x:f>
      </x:c>
    </x:row>
    <x:row r="44"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6"/>
      <x:c r="P44" s="6"/>
      <x:c r="Q44" s="6"/>
      <x:c r="R44" s="7" t="str">
        <x:f>IF(V44="Completo",E44,"")</x:f>
      </x:c>
      <x:c r="S44" s="7" t="str">
        <x:f>IF(V44="Completo",E44*(1-O44-P44-Q44)-SUM(F44:N44),"")</x:f>
      </x:c>
      <x:c r="T44" s="6" t="str">
        <x:f>IF(OR(V44&lt;&gt;"Completo",E44=0),"",S44/E44)</x:f>
      </x:c>
      <x:c r="U44" s="7" t="str">
        <x:f>IF(OR(V44&lt;&gt;"Completo",1-O44-P44-Q44&lt;=0),"",SUM(F44:N44)/(1-O44-P44-Q44))</x:f>
      </x:c>
      <x:c r="V44" t="str">
        <x:f>IF(A44="","",IF(COUNT(E44:Q44)=13,"Completo","Pendente"))</x:f>
      </x:c>
    </x:row>
    <x:row r="45"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6"/>
      <x:c r="P45" s="6"/>
      <x:c r="Q45" s="6"/>
      <x:c r="R45" s="7" t="str">
        <x:f>IF(V45="Completo",E45,"")</x:f>
      </x:c>
      <x:c r="S45" s="7" t="str">
        <x:f>IF(V45="Completo",E45*(1-O45-P45-Q45)-SUM(F45:N45),"")</x:f>
      </x:c>
      <x:c r="T45" s="6" t="str">
        <x:f>IF(OR(V45&lt;&gt;"Completo",E45=0),"",S45/E45)</x:f>
      </x:c>
      <x:c r="U45" s="7" t="str">
        <x:f>IF(OR(V45&lt;&gt;"Completo",1-O45-P45-Q45&lt;=0),"",SUM(F45:N45)/(1-O45-P45-Q45))</x:f>
      </x:c>
      <x:c r="V45" t="str">
        <x:f>IF(A45="","",IF(COUNT(E45:Q45)=13,"Completo","Pendente"))</x:f>
      </x:c>
    </x:row>
    <x:row r="46"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6"/>
      <x:c r="P46" s="6"/>
      <x:c r="Q46" s="6"/>
      <x:c r="R46" s="7" t="str">
        <x:f>IF(V46="Completo",E46,"")</x:f>
      </x:c>
      <x:c r="S46" s="7" t="str">
        <x:f>IF(V46="Completo",E46*(1-O46-P46-Q46)-SUM(F46:N46),"")</x:f>
      </x:c>
      <x:c r="T46" s="6" t="str">
        <x:f>IF(OR(V46&lt;&gt;"Completo",E46=0),"",S46/E46)</x:f>
      </x:c>
      <x:c r="U46" s="7" t="str">
        <x:f>IF(OR(V46&lt;&gt;"Completo",1-O46-P46-Q46&lt;=0),"",SUM(F46:N46)/(1-O46-P46-Q46))</x:f>
      </x:c>
      <x:c r="V46" t="str">
        <x:f>IF(A46="","",IF(COUNT(E46:Q46)=13,"Completo","Pendente"))</x:f>
      </x:c>
    </x:row>
    <x:row r="47"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6"/>
      <x:c r="P47" s="6"/>
      <x:c r="Q47" s="6"/>
      <x:c r="R47" s="7" t="str">
        <x:f>IF(V47="Completo",E47,"")</x:f>
      </x:c>
      <x:c r="S47" s="7" t="str">
        <x:f>IF(V47="Completo",E47*(1-O47-P47-Q47)-SUM(F47:N47),"")</x:f>
      </x:c>
      <x:c r="T47" s="6" t="str">
        <x:f>IF(OR(V47&lt;&gt;"Completo",E47=0),"",S47/E47)</x:f>
      </x:c>
      <x:c r="U47" s="7" t="str">
        <x:f>IF(OR(V47&lt;&gt;"Completo",1-O47-P47-Q47&lt;=0),"",SUM(F47:N47)/(1-O47-P47-Q47))</x:f>
      </x:c>
      <x:c r="V47" t="str">
        <x:f>IF(A47="","",IF(COUNT(E47:Q47)=13,"Completo","Pendente"))</x:f>
      </x:c>
    </x:row>
    <x:row r="48"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6"/>
      <x:c r="P48" s="6"/>
      <x:c r="Q48" s="6"/>
      <x:c r="R48" s="7" t="str">
        <x:f>IF(V48="Completo",E48,"")</x:f>
      </x:c>
      <x:c r="S48" s="7" t="str">
        <x:f>IF(V48="Completo",E48*(1-O48-P48-Q48)-SUM(F48:N48),"")</x:f>
      </x:c>
      <x:c r="T48" s="6" t="str">
        <x:f>IF(OR(V48&lt;&gt;"Completo",E48=0),"",S48/E48)</x:f>
      </x:c>
      <x:c r="U48" s="7" t="str">
        <x:f>IF(OR(V48&lt;&gt;"Completo",1-O48-P48-Q48&lt;=0),"",SUM(F48:N48)/(1-O48-P48-Q48))</x:f>
      </x:c>
      <x:c r="V48" t="str">
        <x:f>IF(A48="","",IF(COUNT(E48:Q48)=13,"Completo","Pendente"))</x:f>
      </x:c>
    </x:row>
    <x:row r="49"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6"/>
      <x:c r="P49" s="6"/>
      <x:c r="Q49" s="6"/>
      <x:c r="R49" s="7" t="str">
        <x:f>IF(V49="Completo",E49,"")</x:f>
      </x:c>
      <x:c r="S49" s="7" t="str">
        <x:f>IF(V49="Completo",E49*(1-O49-P49-Q49)-SUM(F49:N49),"")</x:f>
      </x:c>
      <x:c r="T49" s="6" t="str">
        <x:f>IF(OR(V49&lt;&gt;"Completo",E49=0),"",S49/E49)</x:f>
      </x:c>
      <x:c r="U49" s="7" t="str">
        <x:f>IF(OR(V49&lt;&gt;"Completo",1-O49-P49-Q49&lt;=0),"",SUM(F49:N49)/(1-O49-P49-Q49))</x:f>
      </x:c>
      <x:c r="V49" t="str">
        <x:f>IF(A49="","",IF(COUNT(E49:Q49)=13,"Completo","Pendente"))</x:f>
      </x:c>
    </x:row>
    <x:row r="50"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6"/>
      <x:c r="P50" s="6"/>
      <x:c r="Q50" s="6"/>
      <x:c r="R50" s="7" t="str">
        <x:f>IF(V50="Completo",E50,"")</x:f>
      </x:c>
      <x:c r="S50" s="7" t="str">
        <x:f>IF(V50="Completo",E50*(1-O50-P50-Q50)-SUM(F50:N50),"")</x:f>
      </x:c>
      <x:c r="T50" s="6" t="str">
        <x:f>IF(OR(V50&lt;&gt;"Completo",E50=0),"",S50/E50)</x:f>
      </x:c>
      <x:c r="U50" s="7" t="str">
        <x:f>IF(OR(V50&lt;&gt;"Completo",1-O50-P50-Q50&lt;=0),"",SUM(F50:N50)/(1-O50-P50-Q50))</x:f>
      </x:c>
      <x:c r="V50" t="str">
        <x:f>IF(A50="","",IF(COUNT(E50:Q50)=13,"Completo","Pendente"))</x:f>
      </x:c>
    </x:row>
    <x:row r="51"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6"/>
      <x:c r="P51" s="6"/>
      <x:c r="Q51" s="6"/>
      <x:c r="R51" s="7" t="str">
        <x:f>IF(V51="Completo",E51,"")</x:f>
      </x:c>
      <x:c r="S51" s="7" t="str">
        <x:f>IF(V51="Completo",E51*(1-O51-P51-Q51)-SUM(F51:N51),"")</x:f>
      </x:c>
      <x:c r="T51" s="6" t="str">
        <x:f>IF(OR(V51&lt;&gt;"Completo",E51=0),"",S51/E51)</x:f>
      </x:c>
      <x:c r="U51" s="7" t="str">
        <x:f>IF(OR(V51&lt;&gt;"Completo",1-O51-P51-Q51&lt;=0),"",SUM(F51:N51)/(1-O51-P51-Q51))</x:f>
      </x:c>
      <x:c r="V51" t="str">
        <x:f>IF(A51="","",IF(COUNT(E51:Q51)=13,"Completo","Pendente"))</x:f>
      </x:c>
    </x:row>
    <x:row r="52"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6"/>
      <x:c r="P52" s="6"/>
      <x:c r="Q52" s="6"/>
      <x:c r="R52" s="7" t="str">
        <x:f>IF(V52="Completo",E52,"")</x:f>
      </x:c>
      <x:c r="S52" s="7" t="str">
        <x:f>IF(V52="Completo",E52*(1-O52-P52-Q52)-SUM(F52:N52),"")</x:f>
      </x:c>
      <x:c r="T52" s="6" t="str">
        <x:f>IF(OR(V52&lt;&gt;"Completo",E52=0),"",S52/E52)</x:f>
      </x:c>
      <x:c r="U52" s="7" t="str">
        <x:f>IF(OR(V52&lt;&gt;"Completo",1-O52-P52-Q52&lt;=0),"",SUM(F52:N52)/(1-O52-P52-Q52))</x:f>
      </x:c>
      <x:c r="V52" t="str">
        <x:f>IF(A52="","",IF(COUNT(E52:Q52)=13,"Completo","Pendente"))</x:f>
      </x:c>
    </x:row>
    <x:row r="53"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6"/>
      <x:c r="P53" s="6"/>
      <x:c r="Q53" s="6"/>
      <x:c r="R53" s="7" t="str">
        <x:f>IF(V53="Completo",E53,"")</x:f>
      </x:c>
      <x:c r="S53" s="7" t="str">
        <x:f>IF(V53="Completo",E53*(1-O53-P53-Q53)-SUM(F53:N53),"")</x:f>
      </x:c>
      <x:c r="T53" s="6" t="str">
        <x:f>IF(OR(V53&lt;&gt;"Completo",E53=0),"",S53/E53)</x:f>
      </x:c>
      <x:c r="U53" s="7" t="str">
        <x:f>IF(OR(V53&lt;&gt;"Completo",1-O53-P53-Q53&lt;=0),"",SUM(F53:N53)/(1-O53-P53-Q53))</x:f>
      </x:c>
      <x:c r="V53" t="str">
        <x:f>IF(A53="","",IF(COUNT(E53:Q53)=13,"Completo","Pendente"))</x:f>
      </x:c>
    </x:row>
    <x:row r="54"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6"/>
      <x:c r="P54" s="6"/>
      <x:c r="Q54" s="6"/>
      <x:c r="R54" s="7" t="str">
        <x:f>IF(V54="Completo",E54,"")</x:f>
      </x:c>
      <x:c r="S54" s="7" t="str">
        <x:f>IF(V54="Completo",E54*(1-O54-P54-Q54)-SUM(F54:N54),"")</x:f>
      </x:c>
      <x:c r="T54" s="6" t="str">
        <x:f>IF(OR(V54&lt;&gt;"Completo",E54=0),"",S54/E54)</x:f>
      </x:c>
      <x:c r="U54" s="7" t="str">
        <x:f>IF(OR(V54&lt;&gt;"Completo",1-O54-P54-Q54&lt;=0),"",SUM(F54:N54)/(1-O54-P54-Q54))</x:f>
      </x:c>
      <x:c r="V54" t="str">
        <x:f>IF(A54="","",IF(COUNT(E54:Q54)=13,"Completo","Pendente"))</x:f>
      </x:c>
    </x:row>
    <x:row r="55"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6"/>
      <x:c r="P55" s="6"/>
      <x:c r="Q55" s="6"/>
      <x:c r="R55" s="7" t="str">
        <x:f>IF(V55="Completo",E55,"")</x:f>
      </x:c>
      <x:c r="S55" s="7" t="str">
        <x:f>IF(V55="Completo",E55*(1-O55-P55-Q55)-SUM(F55:N55),"")</x:f>
      </x:c>
      <x:c r="T55" s="6" t="str">
        <x:f>IF(OR(V55&lt;&gt;"Completo",E55=0),"",S55/E55)</x:f>
      </x:c>
      <x:c r="U55" s="7" t="str">
        <x:f>IF(OR(V55&lt;&gt;"Completo",1-O55-P55-Q55&lt;=0),"",SUM(F55:N55)/(1-O55-P55-Q55))</x:f>
      </x:c>
      <x:c r="V55" t="str">
        <x:f>IF(A55="","",IF(COUNT(E55:Q55)=13,"Completo","Pendente"))</x:f>
      </x:c>
    </x:row>
    <x:row r="56"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6"/>
      <x:c r="P56" s="6"/>
      <x:c r="Q56" s="6"/>
      <x:c r="R56" s="7" t="str">
        <x:f>IF(V56="Completo",E56,"")</x:f>
      </x:c>
      <x:c r="S56" s="7" t="str">
        <x:f>IF(V56="Completo",E56*(1-O56-P56-Q56)-SUM(F56:N56),"")</x:f>
      </x:c>
      <x:c r="T56" s="6" t="str">
        <x:f>IF(OR(V56&lt;&gt;"Completo",E56=0),"",S56/E56)</x:f>
      </x:c>
      <x:c r="U56" s="7" t="str">
        <x:f>IF(OR(V56&lt;&gt;"Completo",1-O56-P56-Q56&lt;=0),"",SUM(F56:N56)/(1-O56-P56-Q56))</x:f>
      </x:c>
      <x:c r="V56" t="str">
        <x:f>IF(A56="","",IF(COUNT(E56:Q56)=13,"Completo","Pendente"))</x:f>
      </x:c>
    </x:row>
    <x:row r="57"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6"/>
      <x:c r="P57" s="6"/>
      <x:c r="Q57" s="6"/>
      <x:c r="R57" s="7" t="str">
        <x:f>IF(V57="Completo",E57,"")</x:f>
      </x:c>
      <x:c r="S57" s="7" t="str">
        <x:f>IF(V57="Completo",E57*(1-O57-P57-Q57)-SUM(F57:N57),"")</x:f>
      </x:c>
      <x:c r="T57" s="6" t="str">
        <x:f>IF(OR(V57&lt;&gt;"Completo",E57=0),"",S57/E57)</x:f>
      </x:c>
      <x:c r="U57" s="7" t="str">
        <x:f>IF(OR(V57&lt;&gt;"Completo",1-O57-P57-Q57&lt;=0),"",SUM(F57:N57)/(1-O57-P57-Q57))</x:f>
      </x:c>
      <x:c r="V57" t="str">
        <x:f>IF(A57="","",IF(COUNT(E57:Q57)=13,"Completo","Pendente"))</x:f>
      </x:c>
    </x:row>
    <x:row r="58"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6"/>
      <x:c r="P58" s="6"/>
      <x:c r="Q58" s="6"/>
      <x:c r="R58" s="7" t="str">
        <x:f>IF(V58="Completo",E58,"")</x:f>
      </x:c>
      <x:c r="S58" s="7" t="str">
        <x:f>IF(V58="Completo",E58*(1-O58-P58-Q58)-SUM(F58:N58),"")</x:f>
      </x:c>
      <x:c r="T58" s="6" t="str">
        <x:f>IF(OR(V58&lt;&gt;"Completo",E58=0),"",S58/E58)</x:f>
      </x:c>
      <x:c r="U58" s="7" t="str">
        <x:f>IF(OR(V58&lt;&gt;"Completo",1-O58-P58-Q58&lt;=0),"",SUM(F58:N58)/(1-O58-P58-Q58))</x:f>
      </x:c>
      <x:c r="V58" t="str">
        <x:f>IF(A58="","",IF(COUNT(E58:Q58)=13,"Completo","Pendente"))</x:f>
      </x:c>
    </x:row>
    <x:row r="59"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6"/>
      <x:c r="P59" s="6"/>
      <x:c r="Q59" s="6"/>
      <x:c r="R59" s="7" t="str">
        <x:f>IF(V59="Completo",E59,"")</x:f>
      </x:c>
      <x:c r="S59" s="7" t="str">
        <x:f>IF(V59="Completo",E59*(1-O59-P59-Q59)-SUM(F59:N59),"")</x:f>
      </x:c>
      <x:c r="T59" s="6" t="str">
        <x:f>IF(OR(V59&lt;&gt;"Completo",E59=0),"",S59/E59)</x:f>
      </x:c>
      <x:c r="U59" s="7" t="str">
        <x:f>IF(OR(V59&lt;&gt;"Completo",1-O59-P59-Q59&lt;=0),"",SUM(F59:N59)/(1-O59-P59-Q59))</x:f>
      </x:c>
      <x:c r="V59" t="str">
        <x:f>IF(A59="","",IF(COUNT(E59:Q59)=13,"Completo","Pendente"))</x:f>
      </x:c>
    </x:row>
    <x:row r="60"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6"/>
      <x:c r="P60" s="6"/>
      <x:c r="Q60" s="6"/>
      <x:c r="R60" s="7" t="str">
        <x:f>IF(V60="Completo",E60,"")</x:f>
      </x:c>
      <x:c r="S60" s="7" t="str">
        <x:f>IF(V60="Completo",E60*(1-O60-P60-Q60)-SUM(F60:N60),"")</x:f>
      </x:c>
      <x:c r="T60" s="6" t="str">
        <x:f>IF(OR(V60&lt;&gt;"Completo",E60=0),"",S60/E60)</x:f>
      </x:c>
      <x:c r="U60" s="7" t="str">
        <x:f>IF(OR(V60&lt;&gt;"Completo",1-O60-P60-Q60&lt;=0),"",SUM(F60:N60)/(1-O60-P60-Q60))</x:f>
      </x:c>
      <x:c r="V60" t="str">
        <x:f>IF(A60="","",IF(COUNT(E60:Q60)=13,"Completo","Pendente"))</x:f>
      </x:c>
    </x:row>
    <x:row r="61"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6"/>
      <x:c r="P61" s="6"/>
      <x:c r="Q61" s="6"/>
      <x:c r="R61" s="7" t="str">
        <x:f>IF(V61="Completo",E61,"")</x:f>
      </x:c>
      <x:c r="S61" s="7" t="str">
        <x:f>IF(V61="Completo",E61*(1-O61-P61-Q61)-SUM(F61:N61),"")</x:f>
      </x:c>
      <x:c r="T61" s="6" t="str">
        <x:f>IF(OR(V61&lt;&gt;"Completo",E61=0),"",S61/E61)</x:f>
      </x:c>
      <x:c r="U61" s="7" t="str">
        <x:f>IF(OR(V61&lt;&gt;"Completo",1-O61-P61-Q61&lt;=0),"",SUM(F61:N61)/(1-O61-P61-Q61))</x:f>
      </x:c>
      <x:c r="V61" t="str">
        <x:f>IF(A61="","",IF(COUNT(E61:Q61)=13,"Completo","Pendente"))</x:f>
      </x:c>
    </x:row>
    <x:row r="62"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6"/>
      <x:c r="P62" s="6"/>
      <x:c r="Q62" s="6"/>
      <x:c r="R62" s="7" t="str">
        <x:f>IF(V62="Completo",E62,"")</x:f>
      </x:c>
      <x:c r="S62" s="7" t="str">
        <x:f>IF(V62="Completo",E62*(1-O62-P62-Q62)-SUM(F62:N62),"")</x:f>
      </x:c>
      <x:c r="T62" s="6" t="str">
        <x:f>IF(OR(V62&lt;&gt;"Completo",E62=0),"",S62/E62)</x:f>
      </x:c>
      <x:c r="U62" s="7" t="str">
        <x:f>IF(OR(V62&lt;&gt;"Completo",1-O62-P62-Q62&lt;=0),"",SUM(F62:N62)/(1-O62-P62-Q62))</x:f>
      </x:c>
      <x:c r="V62" t="str">
        <x:f>IF(A62="","",IF(COUNT(E62:Q62)=13,"Completo","Pendente"))</x:f>
      </x:c>
    </x:row>
    <x:row r="63"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6"/>
      <x:c r="P63" s="6"/>
      <x:c r="Q63" s="6"/>
      <x:c r="R63" s="7" t="str">
        <x:f>IF(V63="Completo",E63,"")</x:f>
      </x:c>
      <x:c r="S63" s="7" t="str">
        <x:f>IF(V63="Completo",E63*(1-O63-P63-Q63)-SUM(F63:N63),"")</x:f>
      </x:c>
      <x:c r="T63" s="6" t="str">
        <x:f>IF(OR(V63&lt;&gt;"Completo",E63=0),"",S63/E63)</x:f>
      </x:c>
      <x:c r="U63" s="7" t="str">
        <x:f>IF(OR(V63&lt;&gt;"Completo",1-O63-P63-Q63&lt;=0),"",SUM(F63:N63)/(1-O63-P63-Q63))</x:f>
      </x:c>
      <x:c r="V63" t="str">
        <x:f>IF(A63="","",IF(COUNT(E63:Q63)=13,"Completo","Pendente"))</x:f>
      </x:c>
    </x:row>
    <x:row r="64"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6"/>
      <x:c r="P64" s="6"/>
      <x:c r="Q64" s="6"/>
      <x:c r="R64" s="7" t="str">
        <x:f>IF(V64="Completo",E64,"")</x:f>
      </x:c>
      <x:c r="S64" s="7" t="str">
        <x:f>IF(V64="Completo",E64*(1-O64-P64-Q64)-SUM(F64:N64),"")</x:f>
      </x:c>
      <x:c r="T64" s="6" t="str">
        <x:f>IF(OR(V64&lt;&gt;"Completo",E64=0),"",S64/E64)</x:f>
      </x:c>
      <x:c r="U64" s="7" t="str">
        <x:f>IF(OR(V64&lt;&gt;"Completo",1-O64-P64-Q64&lt;=0),"",SUM(F64:N64)/(1-O64-P64-Q64))</x:f>
      </x:c>
      <x:c r="V64" t="str">
        <x:f>IF(A64="","",IF(COUNT(E64:Q64)=13,"Completo","Pendente"))</x:f>
      </x:c>
    </x:row>
    <x:row r="65"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6"/>
      <x:c r="P65" s="6"/>
      <x:c r="Q65" s="6"/>
      <x:c r="R65" s="7" t="str">
        <x:f>IF(V65="Completo",E65,"")</x:f>
      </x:c>
      <x:c r="S65" s="7" t="str">
        <x:f>IF(V65="Completo",E65*(1-O65-P65-Q65)-SUM(F65:N65),"")</x:f>
      </x:c>
      <x:c r="T65" s="6" t="str">
        <x:f>IF(OR(V65&lt;&gt;"Completo",E65=0),"",S65/E65)</x:f>
      </x:c>
      <x:c r="U65" s="7" t="str">
        <x:f>IF(OR(V65&lt;&gt;"Completo",1-O65-P65-Q65&lt;=0),"",SUM(F65:N65)/(1-O65-P65-Q65))</x:f>
      </x:c>
      <x:c r="V65" t="str">
        <x:f>IF(A65="","",IF(COUNT(E65:Q65)=13,"Completo","Pendente"))</x:f>
      </x:c>
    </x:row>
    <x:row r="66"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6"/>
      <x:c r="P66" s="6"/>
      <x:c r="Q66" s="6"/>
      <x:c r="R66" s="7" t="str">
        <x:f>IF(V66="Completo",E66,"")</x:f>
      </x:c>
      <x:c r="S66" s="7" t="str">
        <x:f>IF(V66="Completo",E66*(1-O66-P66-Q66)-SUM(F66:N66),"")</x:f>
      </x:c>
      <x:c r="T66" s="6" t="str">
        <x:f>IF(OR(V66&lt;&gt;"Completo",E66=0),"",S66/E66)</x:f>
      </x:c>
      <x:c r="U66" s="7" t="str">
        <x:f>IF(OR(V66&lt;&gt;"Completo",1-O66-P66-Q66&lt;=0),"",SUM(F66:N66)/(1-O66-P66-Q66))</x:f>
      </x:c>
      <x:c r="V66" t="str">
        <x:f>IF(A66="","",IF(COUNT(E66:Q66)=13,"Completo","Pendente"))</x:f>
      </x:c>
    </x:row>
    <x:row r="67"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6"/>
      <x:c r="P67" s="6"/>
      <x:c r="Q67" s="6"/>
      <x:c r="R67" s="7" t="str">
        <x:f>IF(V67="Completo",E67,"")</x:f>
      </x:c>
      <x:c r="S67" s="7" t="str">
        <x:f>IF(V67="Completo",E67*(1-O67-P67-Q67)-SUM(F67:N67),"")</x:f>
      </x:c>
      <x:c r="T67" s="6" t="str">
        <x:f>IF(OR(V67&lt;&gt;"Completo",E67=0),"",S67/E67)</x:f>
      </x:c>
      <x:c r="U67" s="7" t="str">
        <x:f>IF(OR(V67&lt;&gt;"Completo",1-O67-P67-Q67&lt;=0),"",SUM(F67:N67)/(1-O67-P67-Q67))</x:f>
      </x:c>
      <x:c r="V67" t="str">
        <x:f>IF(A67="","",IF(COUNT(E67:Q67)=13,"Completo","Pendente"))</x:f>
      </x:c>
    </x:row>
    <x:row r="68"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6"/>
      <x:c r="P68" s="6"/>
      <x:c r="Q68" s="6"/>
      <x:c r="R68" s="7" t="str">
        <x:f>IF(V68="Completo",E68,"")</x:f>
      </x:c>
      <x:c r="S68" s="7" t="str">
        <x:f>IF(V68="Completo",E68*(1-O68-P68-Q68)-SUM(F68:N68),"")</x:f>
      </x:c>
      <x:c r="T68" s="6" t="str">
        <x:f>IF(OR(V68&lt;&gt;"Completo",E68=0),"",S68/E68)</x:f>
      </x:c>
      <x:c r="U68" s="7" t="str">
        <x:f>IF(OR(V68&lt;&gt;"Completo",1-O68-P68-Q68&lt;=0),"",SUM(F68:N68)/(1-O68-P68-Q68))</x:f>
      </x:c>
      <x:c r="V68" t="str">
        <x:f>IF(A68="","",IF(COUNT(E68:Q68)=13,"Completo","Pendente"))</x:f>
      </x:c>
    </x:row>
    <x:row r="69"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6"/>
      <x:c r="P69" s="6"/>
      <x:c r="Q69" s="6"/>
      <x:c r="R69" s="7" t="str">
        <x:f>IF(V69="Completo",E69,"")</x:f>
      </x:c>
      <x:c r="S69" s="7" t="str">
        <x:f>IF(V69="Completo",E69*(1-O69-P69-Q69)-SUM(F69:N69),"")</x:f>
      </x:c>
      <x:c r="T69" s="6" t="str">
        <x:f>IF(OR(V69&lt;&gt;"Completo",E69=0),"",S69/E69)</x:f>
      </x:c>
      <x:c r="U69" s="7" t="str">
        <x:f>IF(OR(V69&lt;&gt;"Completo",1-O69-P69-Q69&lt;=0),"",SUM(F69:N69)/(1-O69-P69-Q69))</x:f>
      </x:c>
      <x:c r="V69" t="str">
        <x:f>IF(A69="","",IF(COUNT(E69:Q69)=13,"Completo","Pendente"))</x:f>
      </x:c>
    </x:row>
    <x:row r="70"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6"/>
      <x:c r="P70" s="6"/>
      <x:c r="Q70" s="6"/>
      <x:c r="R70" s="7" t="str">
        <x:f>IF(V70="Completo",E70,"")</x:f>
      </x:c>
      <x:c r="S70" s="7" t="str">
        <x:f>IF(V70="Completo",E70*(1-O70-P70-Q70)-SUM(F70:N70),"")</x:f>
      </x:c>
      <x:c r="T70" s="6" t="str">
        <x:f>IF(OR(V70&lt;&gt;"Completo",E70=0),"",S70/E70)</x:f>
      </x:c>
      <x:c r="U70" s="7" t="str">
        <x:f>IF(OR(V70&lt;&gt;"Completo",1-O70-P70-Q70&lt;=0),"",SUM(F70:N70)/(1-O70-P70-Q70))</x:f>
      </x:c>
      <x:c r="V70" t="str">
        <x:f>IF(A70="","",IF(COUNT(E70:Q70)=13,"Completo","Pendente"))</x:f>
      </x:c>
    </x:row>
    <x:row r="71"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6"/>
      <x:c r="P71" s="6"/>
      <x:c r="Q71" s="6"/>
      <x:c r="R71" s="7" t="str">
        <x:f>IF(V71="Completo",E71,"")</x:f>
      </x:c>
      <x:c r="S71" s="7" t="str">
        <x:f>IF(V71="Completo",E71*(1-O71-P71-Q71)-SUM(F71:N71),"")</x:f>
      </x:c>
      <x:c r="T71" s="6" t="str">
        <x:f>IF(OR(V71&lt;&gt;"Completo",E71=0),"",S71/E71)</x:f>
      </x:c>
      <x:c r="U71" s="7" t="str">
        <x:f>IF(OR(V71&lt;&gt;"Completo",1-O71-P71-Q71&lt;=0),"",SUM(F71:N71)/(1-O71-P71-Q71))</x:f>
      </x:c>
      <x:c r="V71" t="str">
        <x:f>IF(A71="","",IF(COUNT(E71:Q71)=13,"Completo","Pendente"))</x:f>
      </x:c>
    </x:row>
    <x:row r="72"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6"/>
      <x:c r="P72" s="6"/>
      <x:c r="Q72" s="6"/>
      <x:c r="R72" s="7" t="str">
        <x:f>IF(V72="Completo",E72,"")</x:f>
      </x:c>
      <x:c r="S72" s="7" t="str">
        <x:f>IF(V72="Completo",E72*(1-O72-P72-Q72)-SUM(F72:N72),"")</x:f>
      </x:c>
      <x:c r="T72" s="6" t="str">
        <x:f>IF(OR(V72&lt;&gt;"Completo",E72=0),"",S72/E72)</x:f>
      </x:c>
      <x:c r="U72" s="7" t="str">
        <x:f>IF(OR(V72&lt;&gt;"Completo",1-O72-P72-Q72&lt;=0),"",SUM(F72:N72)/(1-O72-P72-Q72))</x:f>
      </x:c>
      <x:c r="V72" t="str">
        <x:f>IF(A72="","",IF(COUNT(E72:Q72)=13,"Completo","Pendente"))</x:f>
      </x:c>
    </x:row>
    <x:row r="73"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6"/>
      <x:c r="P73" s="6"/>
      <x:c r="Q73" s="6"/>
      <x:c r="R73" s="7" t="str">
        <x:f>IF(V73="Completo",E73,"")</x:f>
      </x:c>
      <x:c r="S73" s="7" t="str">
        <x:f>IF(V73="Completo",E73*(1-O73-P73-Q73)-SUM(F73:N73),"")</x:f>
      </x:c>
      <x:c r="T73" s="6" t="str">
        <x:f>IF(OR(V73&lt;&gt;"Completo",E73=0),"",S73/E73)</x:f>
      </x:c>
      <x:c r="U73" s="7" t="str">
        <x:f>IF(OR(V73&lt;&gt;"Completo",1-O73-P73-Q73&lt;=0),"",SUM(F73:N73)/(1-O73-P73-Q73))</x:f>
      </x:c>
      <x:c r="V73" t="str">
        <x:f>IF(A73="","",IF(COUNT(E73:Q73)=13,"Completo","Pendente"))</x:f>
      </x:c>
    </x:row>
    <x:row r="74"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6"/>
      <x:c r="P74" s="6"/>
      <x:c r="Q74" s="6"/>
      <x:c r="R74" s="7" t="str">
        <x:f>IF(V74="Completo",E74,"")</x:f>
      </x:c>
      <x:c r="S74" s="7" t="str">
        <x:f>IF(V74="Completo",E74*(1-O74-P74-Q74)-SUM(F74:N74),"")</x:f>
      </x:c>
      <x:c r="T74" s="6" t="str">
        <x:f>IF(OR(V74&lt;&gt;"Completo",E74=0),"",S74/E74)</x:f>
      </x:c>
      <x:c r="U74" s="7" t="str">
        <x:f>IF(OR(V74&lt;&gt;"Completo",1-O74-P74-Q74&lt;=0),"",SUM(F74:N74)/(1-O74-P74-Q74))</x:f>
      </x:c>
      <x:c r="V74" t="str">
        <x:f>IF(A74="","",IF(COUNT(E74:Q74)=13,"Completo","Pendente"))</x:f>
      </x:c>
    </x:row>
    <x:row r="75"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6"/>
      <x:c r="P75" s="6"/>
      <x:c r="Q75" s="6"/>
      <x:c r="R75" s="7" t="str">
        <x:f>IF(V75="Completo",E75,"")</x:f>
      </x:c>
      <x:c r="S75" s="7" t="str">
        <x:f>IF(V75="Completo",E75*(1-O75-P75-Q75)-SUM(F75:N75),"")</x:f>
      </x:c>
      <x:c r="T75" s="6" t="str">
        <x:f>IF(OR(V75&lt;&gt;"Completo",E75=0),"",S75/E75)</x:f>
      </x:c>
      <x:c r="U75" s="7" t="str">
        <x:f>IF(OR(V75&lt;&gt;"Completo",1-O75-P75-Q75&lt;=0),"",SUM(F75:N75)/(1-O75-P75-Q75))</x:f>
      </x:c>
      <x:c r="V75" t="str">
        <x:f>IF(A75="","",IF(COUNT(E75:Q75)=13,"Completo","Pendente"))</x:f>
      </x:c>
    </x:row>
    <x:row r="76"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6"/>
      <x:c r="P76" s="6"/>
      <x:c r="Q76" s="6"/>
      <x:c r="R76" s="7" t="str">
        <x:f>IF(V76="Completo",E76,"")</x:f>
      </x:c>
      <x:c r="S76" s="7" t="str">
        <x:f>IF(V76="Completo",E76*(1-O76-P76-Q76)-SUM(F76:N76),"")</x:f>
      </x:c>
      <x:c r="T76" s="6" t="str">
        <x:f>IF(OR(V76&lt;&gt;"Completo",E76=0),"",S76/E76)</x:f>
      </x:c>
      <x:c r="U76" s="7" t="str">
        <x:f>IF(OR(V76&lt;&gt;"Completo",1-O76-P76-Q76&lt;=0),"",SUM(F76:N76)/(1-O76-P76-Q76))</x:f>
      </x:c>
      <x:c r="V76" t="str">
        <x:f>IF(A76="","",IF(COUNT(E76:Q76)=13,"Completo","Pendente"))</x:f>
      </x:c>
    </x:row>
    <x:row r="77"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6"/>
      <x:c r="P77" s="6"/>
      <x:c r="Q77" s="6"/>
      <x:c r="R77" s="7" t="str">
        <x:f>IF(V77="Completo",E77,"")</x:f>
      </x:c>
      <x:c r="S77" s="7" t="str">
        <x:f>IF(V77="Completo",E77*(1-O77-P77-Q77)-SUM(F77:N77),"")</x:f>
      </x:c>
      <x:c r="T77" s="6" t="str">
        <x:f>IF(OR(V77&lt;&gt;"Completo",E77=0),"",S77/E77)</x:f>
      </x:c>
      <x:c r="U77" s="7" t="str">
        <x:f>IF(OR(V77&lt;&gt;"Completo",1-O77-P77-Q77&lt;=0),"",SUM(F77:N77)/(1-O77-P77-Q77))</x:f>
      </x:c>
      <x:c r="V77" t="str">
        <x:f>IF(A77="","",IF(COUNT(E77:Q77)=13,"Completo","Pendente"))</x:f>
      </x:c>
    </x:row>
    <x:row r="78"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6"/>
      <x:c r="P78" s="6"/>
      <x:c r="Q78" s="6"/>
      <x:c r="R78" s="7" t="str">
        <x:f>IF(V78="Completo",E78,"")</x:f>
      </x:c>
      <x:c r="S78" s="7" t="str">
        <x:f>IF(V78="Completo",E78*(1-O78-P78-Q78)-SUM(F78:N78),"")</x:f>
      </x:c>
      <x:c r="T78" s="6" t="str">
        <x:f>IF(OR(V78&lt;&gt;"Completo",E78=0),"",S78/E78)</x:f>
      </x:c>
      <x:c r="U78" s="7" t="str">
        <x:f>IF(OR(V78&lt;&gt;"Completo",1-O78-P78-Q78&lt;=0),"",SUM(F78:N78)/(1-O78-P78-Q78))</x:f>
      </x:c>
      <x:c r="V78" t="str">
        <x:f>IF(A78="","",IF(COUNT(E78:Q78)=13,"Completo","Pendente"))</x:f>
      </x:c>
    </x:row>
    <x:row r="79"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6"/>
      <x:c r="P79" s="6"/>
      <x:c r="Q79" s="6"/>
      <x:c r="R79" s="7" t="str">
        <x:f>IF(V79="Completo",E79,"")</x:f>
      </x:c>
      <x:c r="S79" s="7" t="str">
        <x:f>IF(V79="Completo",E79*(1-O79-P79-Q79)-SUM(F79:N79),"")</x:f>
      </x:c>
      <x:c r="T79" s="6" t="str">
        <x:f>IF(OR(V79&lt;&gt;"Completo",E79=0),"",S79/E79)</x:f>
      </x:c>
      <x:c r="U79" s="7" t="str">
        <x:f>IF(OR(V79&lt;&gt;"Completo",1-O79-P79-Q79&lt;=0),"",SUM(F79:N79)/(1-O79-P79-Q79))</x:f>
      </x:c>
      <x:c r="V79" t="str">
        <x:f>IF(A79="","",IF(COUNT(E79:Q79)=13,"Completo","Pendente"))</x:f>
      </x:c>
    </x:row>
    <x:row r="80"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6"/>
      <x:c r="P80" s="6"/>
      <x:c r="Q80" s="6"/>
      <x:c r="R80" s="7" t="str">
        <x:f>IF(V80="Completo",E80,"")</x:f>
      </x:c>
      <x:c r="S80" s="7" t="str">
        <x:f>IF(V80="Completo",E80*(1-O80-P80-Q80)-SUM(F80:N80),"")</x:f>
      </x:c>
      <x:c r="T80" s="6" t="str">
        <x:f>IF(OR(V80&lt;&gt;"Completo",E80=0),"",S80/E80)</x:f>
      </x:c>
      <x:c r="U80" s="7" t="str">
        <x:f>IF(OR(V80&lt;&gt;"Completo",1-O80-P80-Q80&lt;=0),"",SUM(F80:N80)/(1-O80-P80-Q80))</x:f>
      </x:c>
      <x:c r="V80" t="str">
        <x:f>IF(A80="","",IF(COUNT(E80:Q80)=13,"Completo","Pendente"))</x:f>
      </x:c>
    </x:row>
    <x:row r="81"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6"/>
      <x:c r="P81" s="6"/>
      <x:c r="Q81" s="6"/>
      <x:c r="R81" s="7" t="str">
        <x:f>IF(V81="Completo",E81,"")</x:f>
      </x:c>
      <x:c r="S81" s="7" t="str">
        <x:f>IF(V81="Completo",E81*(1-O81-P81-Q81)-SUM(F81:N81),"")</x:f>
      </x:c>
      <x:c r="T81" s="6" t="str">
        <x:f>IF(OR(V81&lt;&gt;"Completo",E81=0),"",S81/E81)</x:f>
      </x:c>
      <x:c r="U81" s="7" t="str">
        <x:f>IF(OR(V81&lt;&gt;"Completo",1-O81-P81-Q81&lt;=0),"",SUM(F81:N81)/(1-O81-P81-Q81))</x:f>
      </x:c>
      <x:c r="V81" t="str">
        <x:f>IF(A81="","",IF(COUNT(E81:Q81)=13,"Completo","Pendente"))</x:f>
      </x:c>
    </x:row>
    <x:row r="82"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6"/>
      <x:c r="P82" s="6"/>
      <x:c r="Q82" s="6"/>
      <x:c r="R82" s="7" t="str">
        <x:f>IF(V82="Completo",E82,"")</x:f>
      </x:c>
      <x:c r="S82" s="7" t="str">
        <x:f>IF(V82="Completo",E82*(1-O82-P82-Q82)-SUM(F82:N82),"")</x:f>
      </x:c>
      <x:c r="T82" s="6" t="str">
        <x:f>IF(OR(V82&lt;&gt;"Completo",E82=0),"",S82/E82)</x:f>
      </x:c>
      <x:c r="U82" s="7" t="str">
        <x:f>IF(OR(V82&lt;&gt;"Completo",1-O82-P82-Q82&lt;=0),"",SUM(F82:N82)/(1-O82-P82-Q82))</x:f>
      </x:c>
      <x:c r="V82" t="str">
        <x:f>IF(A82="","",IF(COUNT(E82:Q82)=13,"Completo","Pendente"))</x:f>
      </x:c>
    </x:row>
    <x:row r="83"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6"/>
      <x:c r="P83" s="6"/>
      <x:c r="Q83" s="6"/>
      <x:c r="R83" s="7" t="str">
        <x:f>IF(V83="Completo",E83,"")</x:f>
      </x:c>
      <x:c r="S83" s="7" t="str">
        <x:f>IF(V83="Completo",E83*(1-O83-P83-Q83)-SUM(F83:N83),"")</x:f>
      </x:c>
      <x:c r="T83" s="6" t="str">
        <x:f>IF(OR(V83&lt;&gt;"Completo",E83=0),"",S83/E83)</x:f>
      </x:c>
      <x:c r="U83" s="7" t="str">
        <x:f>IF(OR(V83&lt;&gt;"Completo",1-O83-P83-Q83&lt;=0),"",SUM(F83:N83)/(1-O83-P83-Q83))</x:f>
      </x:c>
      <x:c r="V83" t="str">
        <x:f>IF(A83="","",IF(COUNT(E83:Q83)=13,"Completo","Pendente"))</x:f>
      </x:c>
    </x:row>
    <x:row r="84"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6"/>
      <x:c r="P84" s="6"/>
      <x:c r="Q84" s="6"/>
      <x:c r="R84" s="7" t="str">
        <x:f>IF(V84="Completo",E84,"")</x:f>
      </x:c>
      <x:c r="S84" s="7" t="str">
        <x:f>IF(V84="Completo",E84*(1-O84-P84-Q84)-SUM(F84:N84),"")</x:f>
      </x:c>
      <x:c r="T84" s="6" t="str">
        <x:f>IF(OR(V84&lt;&gt;"Completo",E84=0),"",S84/E84)</x:f>
      </x:c>
      <x:c r="U84" s="7" t="str">
        <x:f>IF(OR(V84&lt;&gt;"Completo",1-O84-P84-Q84&lt;=0),"",SUM(F84:N84)/(1-O84-P84-Q84))</x:f>
      </x:c>
      <x:c r="V84" t="str">
        <x:f>IF(A84="","",IF(COUNT(E84:Q84)=13,"Completo","Pendente"))</x:f>
      </x:c>
    </x:row>
    <x:row r="85"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6"/>
      <x:c r="P85" s="6"/>
      <x:c r="Q85" s="6"/>
      <x:c r="R85" s="7" t="str">
        <x:f>IF(V85="Completo",E85,"")</x:f>
      </x:c>
      <x:c r="S85" s="7" t="str">
        <x:f>IF(V85="Completo",E85*(1-O85-P85-Q85)-SUM(F85:N85),"")</x:f>
      </x:c>
      <x:c r="T85" s="6" t="str">
        <x:f>IF(OR(V85&lt;&gt;"Completo",E85=0),"",S85/E85)</x:f>
      </x:c>
      <x:c r="U85" s="7" t="str">
        <x:f>IF(OR(V85&lt;&gt;"Completo",1-O85-P85-Q85&lt;=0),"",SUM(F85:N85)/(1-O85-P85-Q85))</x:f>
      </x:c>
      <x:c r="V85" t="str">
        <x:f>IF(A85="","",IF(COUNT(E85:Q85)=13,"Completo","Pendente"))</x:f>
      </x:c>
    </x:row>
    <x:row r="86"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6"/>
      <x:c r="P86" s="6"/>
      <x:c r="Q86" s="6"/>
      <x:c r="R86" s="7" t="str">
        <x:f>IF(V86="Completo",E86,"")</x:f>
      </x:c>
      <x:c r="S86" s="7" t="str">
        <x:f>IF(V86="Completo",E86*(1-O86-P86-Q86)-SUM(F86:N86),"")</x:f>
      </x:c>
      <x:c r="T86" s="6" t="str">
        <x:f>IF(OR(V86&lt;&gt;"Completo",E86=0),"",S86/E86)</x:f>
      </x:c>
      <x:c r="U86" s="7" t="str">
        <x:f>IF(OR(V86&lt;&gt;"Completo",1-O86-P86-Q86&lt;=0),"",SUM(F86:N86)/(1-O86-P86-Q86))</x:f>
      </x:c>
      <x:c r="V86" t="str">
        <x:f>IF(A86="","",IF(COUNT(E86:Q86)=13,"Completo","Pendente"))</x:f>
      </x:c>
    </x:row>
    <x:row r="87"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6"/>
      <x:c r="P87" s="6"/>
      <x:c r="Q87" s="6"/>
      <x:c r="R87" s="7" t="str">
        <x:f>IF(V87="Completo",E87,"")</x:f>
      </x:c>
      <x:c r="S87" s="7" t="str">
        <x:f>IF(V87="Completo",E87*(1-O87-P87-Q87)-SUM(F87:N87),"")</x:f>
      </x:c>
      <x:c r="T87" s="6" t="str">
        <x:f>IF(OR(V87&lt;&gt;"Completo",E87=0),"",S87/E87)</x:f>
      </x:c>
      <x:c r="U87" s="7" t="str">
        <x:f>IF(OR(V87&lt;&gt;"Completo",1-O87-P87-Q87&lt;=0),"",SUM(F87:N87)/(1-O87-P87-Q87))</x:f>
      </x:c>
      <x:c r="V87" t="str">
        <x:f>IF(A87="","",IF(COUNT(E87:Q87)=13,"Completo","Pendente"))</x:f>
      </x:c>
    </x:row>
    <x:row r="88"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6"/>
      <x:c r="P88" s="6"/>
      <x:c r="Q88" s="6"/>
      <x:c r="R88" s="7" t="str">
        <x:f>IF(V88="Completo",E88,"")</x:f>
      </x:c>
      <x:c r="S88" s="7" t="str">
        <x:f>IF(V88="Completo",E88*(1-O88-P88-Q88)-SUM(F88:N88),"")</x:f>
      </x:c>
      <x:c r="T88" s="6" t="str">
        <x:f>IF(OR(V88&lt;&gt;"Completo",E88=0),"",S88/E88)</x:f>
      </x:c>
      <x:c r="U88" s="7" t="str">
        <x:f>IF(OR(V88&lt;&gt;"Completo",1-O88-P88-Q88&lt;=0),"",SUM(F88:N88)/(1-O88-P88-Q88))</x:f>
      </x:c>
      <x:c r="V88" t="str">
        <x:f>IF(A88="","",IF(COUNT(E88:Q88)=13,"Completo","Pendente"))</x:f>
      </x:c>
    </x:row>
    <x:row r="89"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6"/>
      <x:c r="P89" s="6"/>
      <x:c r="Q89" s="6"/>
      <x:c r="R89" s="7" t="str">
        <x:f>IF(V89="Completo",E89,"")</x:f>
      </x:c>
      <x:c r="S89" s="7" t="str">
        <x:f>IF(V89="Completo",E89*(1-O89-P89-Q89)-SUM(F89:N89),"")</x:f>
      </x:c>
      <x:c r="T89" s="6" t="str">
        <x:f>IF(OR(V89&lt;&gt;"Completo",E89=0),"",S89/E89)</x:f>
      </x:c>
      <x:c r="U89" s="7" t="str">
        <x:f>IF(OR(V89&lt;&gt;"Completo",1-O89-P89-Q89&lt;=0),"",SUM(F89:N89)/(1-O89-P89-Q89))</x:f>
      </x:c>
      <x:c r="V89" t="str">
        <x:f>IF(A89="","",IF(COUNT(E89:Q89)=13,"Completo","Pendente"))</x:f>
      </x:c>
    </x:row>
    <x:row r="90"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6"/>
      <x:c r="P90" s="6"/>
      <x:c r="Q90" s="6"/>
      <x:c r="R90" s="7" t="str">
        <x:f>IF(V90="Completo",E90,"")</x:f>
      </x:c>
      <x:c r="S90" s="7" t="str">
        <x:f>IF(V90="Completo",E90*(1-O90-P90-Q90)-SUM(F90:N90),"")</x:f>
      </x:c>
      <x:c r="T90" s="6" t="str">
        <x:f>IF(OR(V90&lt;&gt;"Completo",E90=0),"",S90/E90)</x:f>
      </x:c>
      <x:c r="U90" s="7" t="str">
        <x:f>IF(OR(V90&lt;&gt;"Completo",1-O90-P90-Q90&lt;=0),"",SUM(F90:N90)/(1-O90-P90-Q90))</x:f>
      </x:c>
      <x:c r="V90" t="str">
        <x:f>IF(A90="","",IF(COUNT(E90:Q90)=13,"Completo","Pendente"))</x:f>
      </x:c>
    </x:row>
    <x:row r="91"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6"/>
      <x:c r="P91" s="6"/>
      <x:c r="Q91" s="6"/>
      <x:c r="R91" s="7" t="str">
        <x:f>IF(V91="Completo",E91,"")</x:f>
      </x:c>
      <x:c r="S91" s="7" t="str">
        <x:f>IF(V91="Completo",E91*(1-O91-P91-Q91)-SUM(F91:N91),"")</x:f>
      </x:c>
      <x:c r="T91" s="6" t="str">
        <x:f>IF(OR(V91&lt;&gt;"Completo",E91=0),"",S91/E91)</x:f>
      </x:c>
      <x:c r="U91" s="7" t="str">
        <x:f>IF(OR(V91&lt;&gt;"Completo",1-O91-P91-Q91&lt;=0),"",SUM(F91:N91)/(1-O91-P91-Q91))</x:f>
      </x:c>
      <x:c r="V91" t="str">
        <x:f>IF(A91="","",IF(COUNT(E91:Q91)=13,"Completo","Pendente"))</x:f>
      </x:c>
    </x:row>
    <x:row r="92"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6"/>
      <x:c r="P92" s="6"/>
      <x:c r="Q92" s="6"/>
      <x:c r="R92" s="7" t="str">
        <x:f>IF(V92="Completo",E92,"")</x:f>
      </x:c>
      <x:c r="S92" s="7" t="str">
        <x:f>IF(V92="Completo",E92*(1-O92-P92-Q92)-SUM(F92:N92),"")</x:f>
      </x:c>
      <x:c r="T92" s="6" t="str">
        <x:f>IF(OR(V92&lt;&gt;"Completo",E92=0),"",S92/E92)</x:f>
      </x:c>
      <x:c r="U92" s="7" t="str">
        <x:f>IF(OR(V92&lt;&gt;"Completo",1-O92-P92-Q92&lt;=0),"",SUM(F92:N92)/(1-O92-P92-Q92))</x:f>
      </x:c>
      <x:c r="V92" t="str">
        <x:f>IF(A92="","",IF(COUNT(E92:Q92)=13,"Completo","Pendente"))</x:f>
      </x:c>
    </x:row>
    <x:row r="93"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6"/>
      <x:c r="P93" s="6"/>
      <x:c r="Q93" s="6"/>
      <x:c r="R93" s="7" t="str">
        <x:f>IF(V93="Completo",E93,"")</x:f>
      </x:c>
      <x:c r="S93" s="7" t="str">
        <x:f>IF(V93="Completo",E93*(1-O93-P93-Q93)-SUM(F93:N93),"")</x:f>
      </x:c>
      <x:c r="T93" s="6" t="str">
        <x:f>IF(OR(V93&lt;&gt;"Completo",E93=0),"",S93/E93)</x:f>
      </x:c>
      <x:c r="U93" s="7" t="str">
        <x:f>IF(OR(V93&lt;&gt;"Completo",1-O93-P93-Q93&lt;=0),"",SUM(F93:N93)/(1-O93-P93-Q93))</x:f>
      </x:c>
      <x:c r="V93" t="str">
        <x:f>IF(A93="","",IF(COUNT(E93:Q93)=13,"Completo","Pendente"))</x:f>
      </x:c>
    </x:row>
    <x:row r="94"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6"/>
      <x:c r="P94" s="6"/>
      <x:c r="Q94" s="6"/>
      <x:c r="R94" s="7" t="str">
        <x:f>IF(V94="Completo",E94,"")</x:f>
      </x:c>
      <x:c r="S94" s="7" t="str">
        <x:f>IF(V94="Completo",E94*(1-O94-P94-Q94)-SUM(F94:N94),"")</x:f>
      </x:c>
      <x:c r="T94" s="6" t="str">
        <x:f>IF(OR(V94&lt;&gt;"Completo",E94=0),"",S94/E94)</x:f>
      </x:c>
      <x:c r="U94" s="7" t="str">
        <x:f>IF(OR(V94&lt;&gt;"Completo",1-O94-P94-Q94&lt;=0),"",SUM(F94:N94)/(1-O94-P94-Q94))</x:f>
      </x:c>
      <x:c r="V94" t="str">
        <x:f>IF(A94="","",IF(COUNT(E94:Q94)=13,"Completo","Pendente"))</x:f>
      </x:c>
    </x:row>
    <x:row r="95"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6"/>
      <x:c r="P95" s="6"/>
      <x:c r="Q95" s="6"/>
      <x:c r="R95" s="7" t="str">
        <x:f>IF(V95="Completo",E95,"")</x:f>
      </x:c>
      <x:c r="S95" s="7" t="str">
        <x:f>IF(V95="Completo",E95*(1-O95-P95-Q95)-SUM(F95:N95),"")</x:f>
      </x:c>
      <x:c r="T95" s="6" t="str">
        <x:f>IF(OR(V95&lt;&gt;"Completo",E95=0),"",S95/E95)</x:f>
      </x:c>
      <x:c r="U95" s="7" t="str">
        <x:f>IF(OR(V95&lt;&gt;"Completo",1-O95-P95-Q95&lt;=0),"",SUM(F95:N95)/(1-O95-P95-Q95))</x:f>
      </x:c>
      <x:c r="V95" t="str">
        <x:f>IF(A95="","",IF(COUNT(E95:Q95)=13,"Completo","Pendente"))</x:f>
      </x:c>
    </x:row>
    <x:row r="96"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6"/>
      <x:c r="P96" s="6"/>
      <x:c r="Q96" s="6"/>
      <x:c r="R96" s="7" t="str">
        <x:f>IF(V96="Completo",E96,"")</x:f>
      </x:c>
      <x:c r="S96" s="7" t="str">
        <x:f>IF(V96="Completo",E96*(1-O96-P96-Q96)-SUM(F96:N96),"")</x:f>
      </x:c>
      <x:c r="T96" s="6" t="str">
        <x:f>IF(OR(V96&lt;&gt;"Completo",E96=0),"",S96/E96)</x:f>
      </x:c>
      <x:c r="U96" s="7" t="str">
        <x:f>IF(OR(V96&lt;&gt;"Completo",1-O96-P96-Q96&lt;=0),"",SUM(F96:N96)/(1-O96-P96-Q96))</x:f>
      </x:c>
      <x:c r="V96" t="str">
        <x:f>IF(A96="","",IF(COUNT(E96:Q96)=13,"Completo","Pendente"))</x:f>
      </x:c>
    </x:row>
    <x:row r="97"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6"/>
      <x:c r="P97" s="6"/>
      <x:c r="Q97" s="6"/>
      <x:c r="R97" s="7" t="str">
        <x:f>IF(V97="Completo",E97,"")</x:f>
      </x:c>
      <x:c r="S97" s="7" t="str">
        <x:f>IF(V97="Completo",E97*(1-O97-P97-Q97)-SUM(F97:N97),"")</x:f>
      </x:c>
      <x:c r="T97" s="6" t="str">
        <x:f>IF(OR(V97&lt;&gt;"Completo",E97=0),"",S97/E97)</x:f>
      </x:c>
      <x:c r="U97" s="7" t="str">
        <x:f>IF(OR(V97&lt;&gt;"Completo",1-O97-P97-Q97&lt;=0),"",SUM(F97:N97)/(1-O97-P97-Q97))</x:f>
      </x:c>
      <x:c r="V97" t="str">
        <x:f>IF(A97="","",IF(COUNT(E97:Q97)=13,"Completo","Pendente"))</x:f>
      </x:c>
    </x:row>
    <x:row r="98"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6"/>
      <x:c r="P98" s="6"/>
      <x:c r="Q98" s="6"/>
      <x:c r="R98" s="7" t="str">
        <x:f>IF(V98="Completo",E98,"")</x:f>
      </x:c>
      <x:c r="S98" s="7" t="str">
        <x:f>IF(V98="Completo",E98*(1-O98-P98-Q98)-SUM(F98:N98),"")</x:f>
      </x:c>
      <x:c r="T98" s="6" t="str">
        <x:f>IF(OR(V98&lt;&gt;"Completo",E98=0),"",S98/E98)</x:f>
      </x:c>
      <x:c r="U98" s="7" t="str">
        <x:f>IF(OR(V98&lt;&gt;"Completo",1-O98-P98-Q98&lt;=0),"",SUM(F98:N98)/(1-O98-P98-Q98))</x:f>
      </x:c>
      <x:c r="V98" t="str">
        <x:f>IF(A98="","",IF(COUNT(E98:Q98)=13,"Completo","Pendente"))</x:f>
      </x:c>
    </x:row>
    <x:row r="99"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6"/>
      <x:c r="P99" s="6"/>
      <x:c r="Q99" s="6"/>
      <x:c r="R99" s="7" t="str">
        <x:f>IF(V99="Completo",E99,"")</x:f>
      </x:c>
      <x:c r="S99" s="7" t="str">
        <x:f>IF(V99="Completo",E99*(1-O99-P99-Q99)-SUM(F99:N99),"")</x:f>
      </x:c>
      <x:c r="T99" s="6" t="str">
        <x:f>IF(OR(V99&lt;&gt;"Completo",E99=0),"",S99/E99)</x:f>
      </x:c>
      <x:c r="U99" s="7" t="str">
        <x:f>IF(OR(V99&lt;&gt;"Completo",1-O99-P99-Q99&lt;=0),"",SUM(F99:N99)/(1-O99-P99-Q99))</x:f>
      </x:c>
      <x:c r="V99" t="str">
        <x:f>IF(A99="","",IF(COUNT(E99:Q99)=13,"Completo","Pendente"))</x:f>
      </x:c>
    </x:row>
    <x:row r="100"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6"/>
      <x:c r="P100" s="6"/>
      <x:c r="Q100" s="6"/>
      <x:c r="R100" s="7" t="str">
        <x:f>IF(V100="Completo",E100,"")</x:f>
      </x:c>
      <x:c r="S100" s="7" t="str">
        <x:f>IF(V100="Completo",E100*(1-O100-P100-Q100)-SUM(F100:N100),"")</x:f>
      </x:c>
      <x:c r="T100" s="6" t="str">
        <x:f>IF(OR(V100&lt;&gt;"Completo",E100=0),"",S100/E100)</x:f>
      </x:c>
      <x:c r="U100" s="7" t="str">
        <x:f>IF(OR(V100&lt;&gt;"Completo",1-O100-P100-Q100&lt;=0),"",SUM(F100:N100)/(1-O100-P100-Q100))</x:f>
      </x:c>
      <x:c r="V100" t="str">
        <x:f>IF(A100="","",IF(COUNT(E100:Q100)=13,"Completo","Pendente"))</x:f>
      </x:c>
    </x:row>
    <x:row r="101"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6"/>
      <x:c r="P101" s="6"/>
      <x:c r="Q101" s="6"/>
      <x:c r="R101" s="7" t="str">
        <x:f>IF(V101="Completo",E101,"")</x:f>
      </x:c>
      <x:c r="S101" s="7" t="str">
        <x:f>IF(V101="Completo",E101*(1-O101-P101-Q101)-SUM(F101:N101),"")</x:f>
      </x:c>
      <x:c r="T101" s="6" t="str">
        <x:f>IF(OR(V101&lt;&gt;"Completo",E101=0),"",S101/E101)</x:f>
      </x:c>
      <x:c r="U101" s="7" t="str">
        <x:f>IF(OR(V101&lt;&gt;"Completo",1-O101-P101-Q101&lt;=0),"",SUM(F101:N101)/(1-O101-P101-Q101))</x:f>
      </x:c>
      <x:c r="V101" t="str">
        <x:f>IF(A101="","",IF(COUNT(E101:Q101)=13,"Completo","Pendente"))</x:f>
      </x:c>
    </x:row>
    <x:row r="102"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6"/>
      <x:c r="P102" s="6"/>
      <x:c r="Q102" s="6"/>
      <x:c r="R102" s="7" t="str">
        <x:f>IF(V102="Completo",E102,"")</x:f>
      </x:c>
      <x:c r="S102" s="7" t="str">
        <x:f>IF(V102="Completo",E102*(1-O102-P102-Q102)-SUM(F102:N102),"")</x:f>
      </x:c>
      <x:c r="T102" s="6" t="str">
        <x:f>IF(OR(V102&lt;&gt;"Completo",E102=0),"",S102/E102)</x:f>
      </x:c>
      <x:c r="U102" s="7" t="str">
        <x:f>IF(OR(V102&lt;&gt;"Completo",1-O102-P102-Q102&lt;=0),"",SUM(F102:N102)/(1-O102-P102-Q102))</x:f>
      </x:c>
      <x:c r="V102" t="str">
        <x:f>IF(A102="","",IF(COUNT(E102:Q102)=13,"Completo","Pendente"))</x:f>
      </x:c>
    </x:row>
    <x:row r="103"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6"/>
      <x:c r="P103" s="6"/>
      <x:c r="Q103" s="6"/>
      <x:c r="R103" s="7" t="str">
        <x:f>IF(V103="Completo",E103,"")</x:f>
      </x:c>
      <x:c r="S103" s="7" t="str">
        <x:f>IF(V103="Completo",E103*(1-O103-P103-Q103)-SUM(F103:N103),"")</x:f>
      </x:c>
      <x:c r="T103" s="6" t="str">
        <x:f>IF(OR(V103&lt;&gt;"Completo",E103=0),"",S103/E103)</x:f>
      </x:c>
      <x:c r="U103" s="7" t="str">
        <x:f>IF(OR(V103&lt;&gt;"Completo",1-O103-P103-Q103&lt;=0),"",SUM(F103:N103)/(1-O103-P103-Q103))</x:f>
      </x:c>
      <x:c r="V103" t="str">
        <x:f>IF(A103="","",IF(COUNT(E103:Q103)=13,"Completo","Pendente"))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21" hidden="0" customWidth="1"/>
    <x:col min="4" max="4" width="21" hidden="0" customWidth="1"/>
    <x:col min="5" max="5" width="20" hidden="0" customWidth="1"/>
    <x:col min="6" max="6" width="24" hidden="0" customWidth="1"/>
    <x:col min="7" max="7" width="66" hidden="0" customWidth="1"/>
  </x:cols>
  <x:sheetData>
    <x:row r="1">
      <x:c r="A1" s="1" t="str">
        <x:v>MARCATTA | Caixa</x:v>
      </x:c>
    </x:row>
    <x:row r="3" ht="32" customHeight="1">
      <x:c r="A3" s="5" t="str">
        <x:v>Semana início</x:v>
      </x:c>
      <x:c r="B3" s="5" t="str">
        <x:v>Caixa inicial</x:v>
      </x:c>
      <x:c r="C3" s="5" t="str">
        <x:v>Entradas previstas</x:v>
      </x:c>
      <x:c r="D3" s="5" t="str">
        <x:v>Saídas previstas</x:v>
      </x:c>
      <x:c r="E3" s="5" t="str">
        <x:v>Caixa final</x:v>
      </x:c>
      <x:c r="F3" s="5" t="str">
        <x:v>Menor saldo estimado</x:v>
      </x:c>
      <x:c r="G3" s="5" t="str">
        <x:v>Ação</x:v>
      </x:c>
    </x:row>
    <x:row r="4">
      <x:c r="A4" s="8" t="n">
        <x:v>46293</x:v>
      </x:c>
      <x:c r="B4" s="7"/>
      <x:c r="C4" s="7" t="str">
        <x:f>IF(COUNTIFS(Movimentos!B$4:B$203,"&gt;="&amp;A4,Movimentos!B$4:B$203,"&lt;"&amp;A4+7,Movimentos!C$4:C$203,"Entrada")=0,"",SUMIFS(Movimentos!D$4:D$203,Movimentos!B$4:B$203,"&gt;="&amp;A4,Movimentos!B$4:B$203,"&lt;"&amp;A4+7,Movimentos!C$4:C$203,"Entrada"))</x:f>
      </x:c>
      <x:c r="D4" s="7" t="str">
        <x:f>IF(COUNTIFS(Movimentos!B$4:B$203,"&gt;="&amp;A4,Movimentos!B$4:B$203,"&lt;"&amp;A4+7,Movimentos!C$4:C$203,"Saída")=0,"",SUMIFS(Movimentos!D$4:D$203,Movimentos!B$4:B$203,"&gt;="&amp;A4,Movimentos!B$4:B$203,"&lt;"&amp;A4+7,Movimentos!C$4:C$203,"Saída"))</x:f>
      </x:c>
      <x:c r="E4" s="7" t="str">
        <x:f>IF(B4="","",B4+IF(C4="",0,C4)-IF(D4="",0,D4))</x:f>
      </x:c>
      <x:c r="F4" s="7" t="str">
        <x:f>IF(E4="","",MIN(B4,E4))</x:f>
      </x:c>
      <x:c r="G4" t="str">
        <x:f>IF(E4="","Informar caixa inicial",IF(E4&lt;0,"Rever sinal, prazos ou compra","Atualizar entradas e saídas"))</x:f>
        <x:v>Informar caixa inicial</x:v>
      </x:c>
    </x:row>
    <x:row r="5">
      <x:c r="A5" s="8" t="n">
        <x:v>46300</x:v>
      </x:c>
      <x:c r="B5" s="7" t="str">
        <x:f>IF(E4="","",E4)</x:f>
      </x:c>
      <x:c r="C5" s="7" t="str">
        <x:f>IF(COUNTIFS(Movimentos!B$4:B$203,"&gt;="&amp;A5,Movimentos!B$4:B$203,"&lt;"&amp;A5+7,Movimentos!C$4:C$203,"Entrada")=0,"",SUMIFS(Movimentos!D$4:D$203,Movimentos!B$4:B$203,"&gt;="&amp;A5,Movimentos!B$4:B$203,"&lt;"&amp;A5+7,Movimentos!C$4:C$203,"Entrada"))</x:f>
      </x:c>
      <x:c r="D5" s="7" t="str">
        <x:f>IF(COUNTIFS(Movimentos!B$4:B$203,"&gt;="&amp;A5,Movimentos!B$4:B$203,"&lt;"&amp;A5+7,Movimentos!C$4:C$203,"Saída")=0,"",SUMIFS(Movimentos!D$4:D$203,Movimentos!B$4:B$203,"&gt;="&amp;A5,Movimentos!B$4:B$203,"&lt;"&amp;A5+7,Movimentos!C$4:C$203,"Saída"))</x:f>
      </x:c>
      <x:c r="E5" s="7" t="str">
        <x:f>IF(B5="","",B5+IF(C5="",0,C5)-IF(D5="",0,D5))</x:f>
      </x:c>
      <x:c r="F5" s="7" t="str">
        <x:f>IF(E5="","",MIN(B5,E5))</x:f>
      </x:c>
      <x:c r="G5" t="str">
        <x:f>IF(E5="","Informar caixa inicial",IF(E5&lt;0,"Rever sinal, prazos ou compra","Atualizar entradas e saídas"))</x:f>
        <x:v>Informar caixa inicial</x:v>
      </x:c>
    </x:row>
    <x:row r="6">
      <x:c r="A6" s="8" t="n">
        <x:v>46307</x:v>
      </x:c>
      <x:c r="B6" s="7" t="str">
        <x:f>IF(E5="","",E5)</x:f>
      </x:c>
      <x:c r="C6" s="7" t="str">
        <x:f>IF(COUNTIFS(Movimentos!B$4:B$203,"&gt;="&amp;A6,Movimentos!B$4:B$203,"&lt;"&amp;A6+7,Movimentos!C$4:C$203,"Entrada")=0,"",SUMIFS(Movimentos!D$4:D$203,Movimentos!B$4:B$203,"&gt;="&amp;A6,Movimentos!B$4:B$203,"&lt;"&amp;A6+7,Movimentos!C$4:C$203,"Entrada"))</x:f>
      </x:c>
      <x:c r="D6" s="7" t="str">
        <x:f>IF(COUNTIFS(Movimentos!B$4:B$203,"&gt;="&amp;A6,Movimentos!B$4:B$203,"&lt;"&amp;A6+7,Movimentos!C$4:C$203,"Saída")=0,"",SUMIFS(Movimentos!D$4:D$203,Movimentos!B$4:B$203,"&gt;="&amp;A6,Movimentos!B$4:B$203,"&lt;"&amp;A6+7,Movimentos!C$4:C$203,"Saída"))</x:f>
      </x:c>
      <x:c r="E6" s="7" t="str">
        <x:f>IF(B6="","",B6+IF(C6="",0,C6)-IF(D6="",0,D6))</x:f>
      </x:c>
      <x:c r="F6" s="7" t="str">
        <x:f>IF(E6="","",MIN(B6,E6))</x:f>
      </x:c>
      <x:c r="G6" t="str">
        <x:f>IF(E6="","Informar caixa inicial",IF(E6&lt;0,"Rever sinal, prazos ou compra","Atualizar entradas e saídas"))</x:f>
        <x:v>Informar caixa inicial</x:v>
      </x:c>
    </x:row>
    <x:row r="7">
      <x:c r="A7" s="8" t="n">
        <x:v>46314</x:v>
      </x:c>
      <x:c r="B7" s="7" t="str">
        <x:f>IF(E6="","",E6)</x:f>
      </x:c>
      <x:c r="C7" s="7" t="str">
        <x:f>IF(COUNTIFS(Movimentos!B$4:B$203,"&gt;="&amp;A7,Movimentos!B$4:B$203,"&lt;"&amp;A7+7,Movimentos!C$4:C$203,"Entrada")=0,"",SUMIFS(Movimentos!D$4:D$203,Movimentos!B$4:B$203,"&gt;="&amp;A7,Movimentos!B$4:B$203,"&lt;"&amp;A7+7,Movimentos!C$4:C$203,"Entrada"))</x:f>
      </x:c>
      <x:c r="D7" s="7" t="str">
        <x:f>IF(COUNTIFS(Movimentos!B$4:B$203,"&gt;="&amp;A7,Movimentos!B$4:B$203,"&lt;"&amp;A7+7,Movimentos!C$4:C$203,"Saída")=0,"",SUMIFS(Movimentos!D$4:D$203,Movimentos!B$4:B$203,"&gt;="&amp;A7,Movimentos!B$4:B$203,"&lt;"&amp;A7+7,Movimentos!C$4:C$203,"Saída"))</x:f>
      </x:c>
      <x:c r="E7" s="7" t="str">
        <x:f>IF(B7="","",B7+IF(C7="",0,C7)-IF(D7="",0,D7))</x:f>
      </x:c>
      <x:c r="F7" s="7" t="str">
        <x:f>IF(E7="","",MIN(B7,E7))</x:f>
      </x:c>
      <x:c r="G7" t="str">
        <x:f>IF(E7="","Informar caixa inicial",IF(E7&lt;0,"Rever sinal, prazos ou compra","Atualizar entradas e saídas"))</x:f>
        <x:v>Informar caixa inicial</x:v>
      </x:c>
    </x:row>
    <x:row r="8">
      <x:c r="A8" s="8" t="n">
        <x:v>46321</x:v>
      </x:c>
      <x:c r="B8" s="7" t="str">
        <x:f>IF(E7="","",E7)</x:f>
      </x:c>
      <x:c r="C8" s="7" t="str">
        <x:f>IF(COUNTIFS(Movimentos!B$4:B$203,"&gt;="&amp;A8,Movimentos!B$4:B$203,"&lt;"&amp;A8+7,Movimentos!C$4:C$203,"Entrada")=0,"",SUMIFS(Movimentos!D$4:D$203,Movimentos!B$4:B$203,"&gt;="&amp;A8,Movimentos!B$4:B$203,"&lt;"&amp;A8+7,Movimentos!C$4:C$203,"Entrada"))</x:f>
      </x:c>
      <x:c r="D8" s="7" t="str">
        <x:f>IF(COUNTIFS(Movimentos!B$4:B$203,"&gt;="&amp;A8,Movimentos!B$4:B$203,"&lt;"&amp;A8+7,Movimentos!C$4:C$203,"Saída")=0,"",SUMIFS(Movimentos!D$4:D$203,Movimentos!B$4:B$203,"&gt;="&amp;A8,Movimentos!B$4:B$203,"&lt;"&amp;A8+7,Movimentos!C$4:C$203,"Saída"))</x:f>
      </x:c>
      <x:c r="E8" s="7" t="str">
        <x:f>IF(B8="","",B8+IF(C8="",0,C8)-IF(D8="",0,D8))</x:f>
      </x:c>
      <x:c r="F8" s="7" t="str">
        <x:f>IF(E8="","",MIN(B8,E8))</x:f>
      </x:c>
      <x:c r="G8" t="str">
        <x:f>IF(E8="","Informar caixa inicial",IF(E8&lt;0,"Rever sinal, prazos ou compra","Atualizar entradas e saídas"))</x:f>
        <x:v>Informar caixa inicial</x:v>
      </x:c>
    </x:row>
    <x:row r="9">
      <x:c r="A9" s="8" t="n">
        <x:v>46328</x:v>
      </x:c>
      <x:c r="B9" s="7" t="str">
        <x:f>IF(E8="","",E8)</x:f>
      </x:c>
      <x:c r="C9" s="7" t="str">
        <x:f>IF(COUNTIFS(Movimentos!B$4:B$203,"&gt;="&amp;A9,Movimentos!B$4:B$203,"&lt;"&amp;A9+7,Movimentos!C$4:C$203,"Entrada")=0,"",SUMIFS(Movimentos!D$4:D$203,Movimentos!B$4:B$203,"&gt;="&amp;A9,Movimentos!B$4:B$203,"&lt;"&amp;A9+7,Movimentos!C$4:C$203,"Entrada"))</x:f>
      </x:c>
      <x:c r="D9" s="7" t="str">
        <x:f>IF(COUNTIFS(Movimentos!B$4:B$203,"&gt;="&amp;A9,Movimentos!B$4:B$203,"&lt;"&amp;A9+7,Movimentos!C$4:C$203,"Saída")=0,"",SUMIFS(Movimentos!D$4:D$203,Movimentos!B$4:B$203,"&gt;="&amp;A9,Movimentos!B$4:B$203,"&lt;"&amp;A9+7,Movimentos!C$4:C$203,"Saída"))</x:f>
      </x:c>
      <x:c r="E9" s="7" t="str">
        <x:f>IF(B9="","",B9+IF(C9="",0,C9)-IF(D9="",0,D9))</x:f>
      </x:c>
      <x:c r="F9" s="7" t="str">
        <x:f>IF(E9="","",MIN(B9,E9))</x:f>
      </x:c>
      <x:c r="G9" t="str">
        <x:f>IF(E9="","Informar caixa inicial",IF(E9&lt;0,"Rever sinal, prazos ou compra","Atualizar entradas e saídas"))</x:f>
        <x:v>Informar caixa inicial</x:v>
      </x:c>
    </x:row>
    <x:row r="10">
      <x:c r="A10" s="8" t="n">
        <x:v>46335</x:v>
      </x:c>
      <x:c r="B10" s="7" t="str">
        <x:f>IF(E9="","",E9)</x:f>
      </x:c>
      <x:c r="C10" s="7" t="str">
        <x:f>IF(COUNTIFS(Movimentos!B$4:B$203,"&gt;="&amp;A10,Movimentos!B$4:B$203,"&lt;"&amp;A10+7,Movimentos!C$4:C$203,"Entrada")=0,"",SUMIFS(Movimentos!D$4:D$203,Movimentos!B$4:B$203,"&gt;="&amp;A10,Movimentos!B$4:B$203,"&lt;"&amp;A10+7,Movimentos!C$4:C$203,"Entrada"))</x:f>
      </x:c>
      <x:c r="D10" s="7" t="str">
        <x:f>IF(COUNTIFS(Movimentos!B$4:B$203,"&gt;="&amp;A10,Movimentos!B$4:B$203,"&lt;"&amp;A10+7,Movimentos!C$4:C$203,"Saída")=0,"",SUMIFS(Movimentos!D$4:D$203,Movimentos!B$4:B$203,"&gt;="&amp;A10,Movimentos!B$4:B$203,"&lt;"&amp;A10+7,Movimentos!C$4:C$203,"Saída"))</x:f>
      </x:c>
      <x:c r="E10" s="7" t="str">
        <x:f>IF(B10="","",B10+IF(C10="",0,C10)-IF(D10="",0,D10))</x:f>
      </x:c>
      <x:c r="F10" s="7" t="str">
        <x:f>IF(E10="","",MIN(B10,E10))</x:f>
      </x:c>
      <x:c r="G10" t="str">
        <x:f>IF(E10="","Informar caixa inicial",IF(E10&lt;0,"Rever sinal, prazos ou compra","Atualizar entradas e saídas"))</x:f>
        <x:v>Informar caixa inicial</x:v>
      </x:c>
    </x:row>
    <x:row r="11">
      <x:c r="A11" s="8" t="n">
        <x:v>46342</x:v>
      </x:c>
      <x:c r="B11" s="7" t="str">
        <x:f>IF(E10="","",E10)</x:f>
      </x:c>
      <x:c r="C11" s="7" t="str">
        <x:f>IF(COUNTIFS(Movimentos!B$4:B$203,"&gt;="&amp;A11,Movimentos!B$4:B$203,"&lt;"&amp;A11+7,Movimentos!C$4:C$203,"Entrada")=0,"",SUMIFS(Movimentos!D$4:D$203,Movimentos!B$4:B$203,"&gt;="&amp;A11,Movimentos!B$4:B$203,"&lt;"&amp;A11+7,Movimentos!C$4:C$203,"Entrada"))</x:f>
      </x:c>
      <x:c r="D11" s="7" t="str">
        <x:f>IF(COUNTIFS(Movimentos!B$4:B$203,"&gt;="&amp;A11,Movimentos!B$4:B$203,"&lt;"&amp;A11+7,Movimentos!C$4:C$203,"Saída")=0,"",SUMIFS(Movimentos!D$4:D$203,Movimentos!B$4:B$203,"&gt;="&amp;A11,Movimentos!B$4:B$203,"&lt;"&amp;A11+7,Movimentos!C$4:C$203,"Saída"))</x:f>
      </x:c>
      <x:c r="E11" s="7" t="str">
        <x:f>IF(B11="","",B11+IF(C11="",0,C11)-IF(D11="",0,D11))</x:f>
      </x:c>
      <x:c r="F11" s="7" t="str">
        <x:f>IF(E11="","",MIN(B11,E11))</x:f>
      </x:c>
      <x:c r="G11" t="str">
        <x:f>IF(E11="","Informar caixa inicial",IF(E11&lt;0,"Rever sinal, prazos ou compra","Atualizar entradas e saídas"))</x:f>
        <x:v>Informar caixa inicial</x:v>
      </x:c>
    </x:row>
    <x:row r="12">
      <x:c r="A12" s="8" t="n">
        <x:v>46349</x:v>
      </x:c>
      <x:c r="B12" s="7" t="str">
        <x:f>IF(E11="","",E11)</x:f>
      </x:c>
      <x:c r="C12" s="7" t="str">
        <x:f>IF(COUNTIFS(Movimentos!B$4:B$203,"&gt;="&amp;A12,Movimentos!B$4:B$203,"&lt;"&amp;A12+7,Movimentos!C$4:C$203,"Entrada")=0,"",SUMIFS(Movimentos!D$4:D$203,Movimentos!B$4:B$203,"&gt;="&amp;A12,Movimentos!B$4:B$203,"&lt;"&amp;A12+7,Movimentos!C$4:C$203,"Entrada"))</x:f>
      </x:c>
      <x:c r="D12" s="7" t="str">
        <x:f>IF(COUNTIFS(Movimentos!B$4:B$203,"&gt;="&amp;A12,Movimentos!B$4:B$203,"&lt;"&amp;A12+7,Movimentos!C$4:C$203,"Saída")=0,"",SUMIFS(Movimentos!D$4:D$203,Movimentos!B$4:B$203,"&gt;="&amp;A12,Movimentos!B$4:B$203,"&lt;"&amp;A12+7,Movimentos!C$4:C$203,"Saída"))</x:f>
      </x:c>
      <x:c r="E12" s="7" t="str">
        <x:f>IF(B12="","",B12+IF(C12="",0,C12)-IF(D12="",0,D12))</x:f>
      </x:c>
      <x:c r="F12" s="7" t="str">
        <x:f>IF(E12="","",MIN(B12,E12))</x:f>
      </x:c>
      <x:c r="G12" t="str">
        <x:f>IF(E12="","Informar caixa inicial",IF(E12&lt;0,"Rever sinal, prazos ou compra","Atualizar entradas e saídas"))</x:f>
        <x:v>Informar caixa inicial</x:v>
      </x:c>
    </x:row>
    <x:row r="13">
      <x:c r="A13" s="8" t="n">
        <x:v>46356</x:v>
      </x:c>
      <x:c r="B13" s="7" t="str">
        <x:f>IF(E12="","",E12)</x:f>
      </x:c>
      <x:c r="C13" s="7" t="str">
        <x:f>IF(COUNTIFS(Movimentos!B$4:B$203,"&gt;="&amp;A13,Movimentos!B$4:B$203,"&lt;"&amp;A13+7,Movimentos!C$4:C$203,"Entrada")=0,"",SUMIFS(Movimentos!D$4:D$203,Movimentos!B$4:B$203,"&gt;="&amp;A13,Movimentos!B$4:B$203,"&lt;"&amp;A13+7,Movimentos!C$4:C$203,"Entrada"))</x:f>
      </x:c>
      <x:c r="D13" s="7" t="str">
        <x:f>IF(COUNTIFS(Movimentos!B$4:B$203,"&gt;="&amp;A13,Movimentos!B$4:B$203,"&lt;"&amp;A13+7,Movimentos!C$4:C$203,"Saída")=0,"",SUMIFS(Movimentos!D$4:D$203,Movimentos!B$4:B$203,"&gt;="&amp;A13,Movimentos!B$4:B$203,"&lt;"&amp;A13+7,Movimentos!C$4:C$203,"Saída"))</x:f>
      </x:c>
      <x:c r="E13" s="7" t="str">
        <x:f>IF(B13="","",B13+IF(C13="",0,C13)-IF(D13="",0,D13))</x:f>
      </x:c>
      <x:c r="F13" s="7" t="str">
        <x:f>IF(E13="","",MIN(B13,E13))</x:f>
      </x:c>
      <x:c r="G13" t="str">
        <x:f>IF(E13="","Informar caixa inicial",IF(E13&lt;0,"Rever sinal, prazos ou compra","Atualizar entradas e saídas"))</x:f>
        <x:v>Informar caixa inicial</x:v>
      </x:c>
    </x:row>
    <x:row r="14">
      <x:c r="A14" s="8" t="n">
        <x:v>46363</x:v>
      </x:c>
      <x:c r="B14" s="7" t="str">
        <x:f>IF(E13="","",E13)</x:f>
      </x:c>
      <x:c r="C14" s="7" t="str">
        <x:f>IF(COUNTIFS(Movimentos!B$4:B$203,"&gt;="&amp;A14,Movimentos!B$4:B$203,"&lt;"&amp;A14+7,Movimentos!C$4:C$203,"Entrada")=0,"",SUMIFS(Movimentos!D$4:D$203,Movimentos!B$4:B$203,"&gt;="&amp;A14,Movimentos!B$4:B$203,"&lt;"&amp;A14+7,Movimentos!C$4:C$203,"Entrada"))</x:f>
      </x:c>
      <x:c r="D14" s="7" t="str">
        <x:f>IF(COUNTIFS(Movimentos!B$4:B$203,"&gt;="&amp;A14,Movimentos!B$4:B$203,"&lt;"&amp;A14+7,Movimentos!C$4:C$203,"Saída")=0,"",SUMIFS(Movimentos!D$4:D$203,Movimentos!B$4:B$203,"&gt;="&amp;A14,Movimentos!B$4:B$203,"&lt;"&amp;A14+7,Movimentos!C$4:C$203,"Saída"))</x:f>
      </x:c>
      <x:c r="E14" s="7" t="str">
        <x:f>IF(B14="","",B14+IF(C14="",0,C14)-IF(D14="",0,D14))</x:f>
      </x:c>
      <x:c r="F14" s="7" t="str">
        <x:f>IF(E14="","",MIN(B14,E14))</x:f>
      </x:c>
      <x:c r="G14" t="str">
        <x:f>IF(E14="","Informar caixa inicial",IF(E14&lt;0,"Rever sinal, prazos ou compra","Atualizar entradas e saídas"))</x:f>
        <x:v>Informar caixa inicial</x:v>
      </x:c>
    </x:row>
    <x:row r="15">
      <x:c r="A15" s="8" t="n">
        <x:v>46370</x:v>
      </x:c>
      <x:c r="B15" s="7" t="str">
        <x:f>IF(E14="","",E14)</x:f>
      </x:c>
      <x:c r="C15" s="7" t="str">
        <x:f>IF(COUNTIFS(Movimentos!B$4:B$203,"&gt;="&amp;A15,Movimentos!B$4:B$203,"&lt;"&amp;A15+7,Movimentos!C$4:C$203,"Entrada")=0,"",SUMIFS(Movimentos!D$4:D$203,Movimentos!B$4:B$203,"&gt;="&amp;A15,Movimentos!B$4:B$203,"&lt;"&amp;A15+7,Movimentos!C$4:C$203,"Entrada"))</x:f>
      </x:c>
      <x:c r="D15" s="7" t="str">
        <x:f>IF(COUNTIFS(Movimentos!B$4:B$203,"&gt;="&amp;A15,Movimentos!B$4:B$203,"&lt;"&amp;A15+7,Movimentos!C$4:C$203,"Saída")=0,"",SUMIFS(Movimentos!D$4:D$203,Movimentos!B$4:B$203,"&gt;="&amp;A15,Movimentos!B$4:B$203,"&lt;"&amp;A15+7,Movimentos!C$4:C$203,"Saída"))</x:f>
      </x:c>
      <x:c r="E15" s="7" t="str">
        <x:f>IF(B15="","",B15+IF(C15="",0,C15)-IF(D15="",0,D15))</x:f>
      </x:c>
      <x:c r="F15" s="7" t="str">
        <x:f>IF(E15="","",MIN(B15,E15))</x:f>
      </x:c>
      <x:c r="G15" t="str">
        <x:f>IF(E15="","Informar caixa inicial",IF(E15&lt;0,"Rever sinal, prazos ou compra","Atualizar entradas e saídas"))</x:f>
        <x:v>Informar caixa inicial</x:v>
      </x:c>
    </x:row>
    <x:row r="16">
      <x:c r="A16" s="8" t="n">
        <x:v>46377</x:v>
      </x:c>
      <x:c r="B16" s="7" t="str">
        <x:f>IF(E15="","",E15)</x:f>
      </x:c>
      <x:c r="C16" s="7" t="str">
        <x:f>IF(COUNTIFS(Movimentos!B$4:B$203,"&gt;="&amp;A16,Movimentos!B$4:B$203,"&lt;"&amp;A16+7,Movimentos!C$4:C$203,"Entrada")=0,"",SUMIFS(Movimentos!D$4:D$203,Movimentos!B$4:B$203,"&gt;="&amp;A16,Movimentos!B$4:B$203,"&lt;"&amp;A16+7,Movimentos!C$4:C$203,"Entrada"))</x:f>
      </x:c>
      <x:c r="D16" s="7" t="str">
        <x:f>IF(COUNTIFS(Movimentos!B$4:B$203,"&gt;="&amp;A16,Movimentos!B$4:B$203,"&lt;"&amp;A16+7,Movimentos!C$4:C$203,"Saída")=0,"",SUMIFS(Movimentos!D$4:D$203,Movimentos!B$4:B$203,"&gt;="&amp;A16,Movimentos!B$4:B$203,"&lt;"&amp;A16+7,Movimentos!C$4:C$203,"Saída"))</x:f>
      </x:c>
      <x:c r="E16" s="7" t="str">
        <x:f>IF(B16="","",B16+IF(C16="",0,C16)-IF(D16="",0,D16))</x:f>
      </x:c>
      <x:c r="F16" s="7" t="str">
        <x:f>IF(E16="","",MIN(B16,E16))</x:f>
      </x:c>
      <x:c r="G16" t="str">
        <x:f>IF(E16="","Informar caixa inicial",IF(E16&lt;0,"Rever sinal, prazos ou compra","Atualizar entradas e saídas"))</x:f>
        <x:v>Informar caixa inicial</x:v>
      </x:c>
    </x:row>
    <x:row r="17">
      <x:c r="A17" t="str">
        <x:v>Fim de 13 semanas</x:v>
      </x:c>
      <x:c r="B17" s="7"/>
      <x:c r="C17" s="7"/>
      <x:c r="D17" s="7"/>
      <x:c r="E17" s="7" t="str">
        <x:f>IF(E16="","",E16)</x:f>
      </x:c>
      <x:c r="F17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24" hidden="0" customWidth="1"/>
    <x:col min="6" max="6" width="25" hidden="0" customWidth="1"/>
    <x:col min="7" max="7" width="20" hidden="0" customWidth="1"/>
    <x:col min="8" max="8" width="20" hidden="0" customWidth="1"/>
    <x:col min="9" max="9" width="21" hidden="0" customWidth="1"/>
    <x:col min="10" max="10" width="38" hidden="0" customWidth="1"/>
  </x:cols>
  <x:sheetData>
    <x:row r="1">
      <x:c r="A1" s="1" t="str">
        <x:v>MARCATTA | Movimentos</x:v>
      </x:c>
    </x:row>
    <x:row r="3" ht="32" customHeight="1">
      <x:c r="A3" s="5" t="str">
        <x:v>Pedido ID</x:v>
      </x:c>
      <x:c r="B3" s="5" t="str">
        <x:v>Data prevista</x:v>
      </x:c>
      <x:c r="C3" s="5" t="str">
        <x:v>Tipo</x:v>
      </x:c>
      <x:c r="D3" s="5" t="str">
        <x:v>Valor</x:v>
      </x:c>
      <x:c r="E3" s="5" t="str">
        <x:v>Natureza</x:v>
      </x:c>
      <x:c r="F3" s="5" t="str">
        <x:v>Contraparte</x:v>
      </x:c>
      <x:c r="G3" s="5" t="str">
        <x:v>Confirmado</x:v>
      </x:c>
      <x:c r="H3" s="5" t="str">
        <x:v>Data efetiva</x:v>
      </x:c>
      <x:c r="I3" s="5" t="str">
        <x:v>Valor efetivo</x:v>
      </x:c>
      <x:c r="J3" s="5" t="str">
        <x:v>Documento / observação</x:v>
      </x:c>
    </x:row>
    <x:row r="4">
      <x:c r="D4" s="7"/>
    </x:row>
    <x:row r="5">
      <x:c r="D5" s="7"/>
    </x:row>
    <x:row r="6">
      <x:c r="D6" s="7"/>
    </x:row>
    <x:row r="7">
      <x:c r="D7" s="7"/>
    </x:row>
    <x:row r="8">
      <x:c r="D8" s="7"/>
    </x:row>
    <x:row r="9">
      <x:c r="D9" s="7"/>
    </x:row>
    <x:row r="10">
      <x:c r="D10" s="7"/>
    </x:row>
    <x:row r="11">
      <x:c r="D11" s="7"/>
    </x:row>
    <x:row r="12">
      <x:c r="D12" s="7"/>
    </x:row>
    <x:row r="13">
      <x:c r="D13" s="7"/>
    </x:row>
    <x:row r="14">
      <x:c r="D14" s="7"/>
    </x:row>
    <x:row r="15">
      <x:c r="D15" s="7"/>
    </x:row>
    <x:row r="16">
      <x:c r="D16" s="7"/>
    </x:row>
    <x:row r="17">
      <x:c r="D17" s="7"/>
    </x:row>
    <x:row r="18">
      <x:c r="D18" s="7"/>
    </x:row>
    <x:row r="19">
      <x:c r="D19" s="7"/>
    </x:row>
    <x:row r="20">
      <x:c r="D20" s="7"/>
    </x:row>
    <x:row r="21">
      <x:c r="D21" s="7"/>
    </x:row>
    <x:row r="22">
      <x:c r="D22" s="7"/>
    </x:row>
    <x:row r="23">
      <x:c r="D23" s="7"/>
    </x:row>
    <x:row r="24">
      <x:c r="D24" s="7"/>
    </x:row>
    <x:row r="25">
      <x:c r="D25" s="7"/>
    </x:row>
    <x:row r="26">
      <x:c r="D26" s="7"/>
    </x:row>
    <x:row r="27">
      <x:c r="D27" s="7"/>
    </x:row>
    <x:row r="28">
      <x:c r="D28" s="7"/>
    </x:row>
    <x:row r="29">
      <x:c r="D29" s="7"/>
    </x:row>
    <x:row r="30">
      <x:c r="D30" s="7"/>
    </x:row>
    <x:row r="31">
      <x:c r="D31" s="7"/>
    </x:row>
    <x:row r="32">
      <x:c r="D32" s="7"/>
    </x:row>
    <x:row r="33">
      <x:c r="D33" s="7"/>
    </x:row>
    <x:row r="34">
      <x:c r="D34" s="7"/>
    </x:row>
    <x:row r="35">
      <x:c r="D35" s="7"/>
    </x:row>
    <x:row r="36">
      <x:c r="D36" s="7"/>
    </x:row>
    <x:row r="37">
      <x:c r="D37" s="7"/>
    </x:row>
    <x:row r="38">
      <x:c r="D38" s="7"/>
    </x:row>
    <x:row r="39">
      <x:c r="D39" s="7"/>
    </x:row>
    <x:row r="40">
      <x:c r="D40" s="7"/>
    </x:row>
    <x:row r="41">
      <x:c r="D41" s="7"/>
    </x:row>
    <x:row r="42">
      <x:c r="D42" s="7"/>
    </x:row>
    <x:row r="43">
      <x:c r="D43" s="7"/>
    </x:row>
    <x:row r="44">
      <x:c r="D44" s="7"/>
    </x:row>
    <x:row r="45">
      <x:c r="D45" s="7"/>
    </x:row>
    <x:row r="46">
      <x:c r="D46" s="7"/>
    </x:row>
    <x:row r="47">
      <x:c r="D47" s="7"/>
    </x:row>
    <x:row r="48">
      <x:c r="D48" s="7"/>
    </x:row>
    <x:row r="49">
      <x:c r="D49" s="7"/>
    </x:row>
    <x:row r="50">
      <x:c r="D50" s="7"/>
    </x:row>
    <x:row r="51">
      <x:c r="D51" s="7"/>
    </x:row>
    <x:row r="52">
      <x:c r="D52" s="7"/>
    </x:row>
    <x:row r="53">
      <x:c r="D53" s="7"/>
    </x:row>
    <x:row r="54">
      <x:c r="D54" s="7"/>
    </x:row>
    <x:row r="55">
      <x:c r="D55" s="7"/>
    </x:row>
    <x:row r="56">
      <x:c r="D56" s="7"/>
    </x:row>
    <x:row r="57">
      <x:c r="D57" s="7"/>
    </x:row>
    <x:row r="58">
      <x:c r="D58" s="7"/>
    </x:row>
    <x:row r="59">
      <x:c r="D59" s="7"/>
    </x:row>
    <x:row r="60">
      <x:c r="D60" s="7"/>
    </x:row>
    <x:row r="61">
      <x:c r="D61" s="7"/>
    </x:row>
    <x:row r="62">
      <x:c r="D62" s="7"/>
    </x:row>
    <x:row r="63">
      <x:c r="D63" s="7"/>
    </x:row>
    <x:row r="64">
      <x:c r="D64" s="7"/>
    </x:row>
    <x:row r="65">
      <x:c r="D65" s="7"/>
    </x:row>
    <x:row r="66">
      <x:c r="D66" s="7"/>
    </x:row>
    <x:row r="67">
      <x:c r="D67" s="7"/>
    </x:row>
    <x:row r="68">
      <x:c r="D68" s="7"/>
    </x:row>
    <x:row r="69">
      <x:c r="D69" s="7"/>
    </x:row>
    <x:row r="70">
      <x:c r="D70" s="7"/>
    </x:row>
    <x:row r="71">
      <x:c r="D71" s="7"/>
    </x:row>
    <x:row r="72">
      <x:c r="D72" s="7"/>
    </x:row>
    <x:row r="73">
      <x:c r="D73" s="7"/>
    </x:row>
    <x:row r="74">
      <x:c r="D74" s="7"/>
    </x:row>
    <x:row r="75">
      <x:c r="D75" s="7"/>
    </x:row>
    <x:row r="76">
      <x:c r="D76" s="7"/>
    </x:row>
    <x:row r="77">
      <x:c r="D77" s="7"/>
    </x:row>
    <x:row r="78">
      <x:c r="D78" s="7"/>
    </x:row>
    <x:row r="79">
      <x:c r="D79" s="7"/>
    </x:row>
    <x:row r="80">
      <x:c r="D80" s="7"/>
    </x:row>
    <x:row r="81">
      <x:c r="D81" s="7"/>
    </x:row>
    <x:row r="82">
      <x:c r="D82" s="7"/>
    </x:row>
    <x:row r="83">
      <x:c r="D83" s="7"/>
    </x:row>
    <x:row r="84">
      <x:c r="D84" s="7"/>
    </x:row>
    <x:row r="85">
      <x:c r="D85" s="7"/>
    </x:row>
    <x:row r="86">
      <x:c r="D86" s="7"/>
    </x:row>
    <x:row r="87">
      <x:c r="D87" s="7"/>
    </x:row>
    <x:row r="88">
      <x:c r="D88" s="7"/>
    </x:row>
    <x:row r="89">
      <x:c r="D89" s="7"/>
    </x:row>
    <x:row r="90">
      <x:c r="D90" s="7"/>
    </x:row>
    <x:row r="91">
      <x:c r="D91" s="7"/>
    </x:row>
    <x:row r="92">
      <x:c r="D92" s="7"/>
    </x:row>
    <x:row r="93">
      <x:c r="D93" s="7"/>
    </x:row>
    <x:row r="94">
      <x:c r="D94" s="7"/>
    </x:row>
    <x:row r="95">
      <x:c r="D95" s="7"/>
    </x:row>
    <x:row r="96">
      <x:c r="D96" s="7"/>
    </x:row>
    <x:row r="97">
      <x:c r="D97" s="7"/>
    </x:row>
    <x:row r="98">
      <x:c r="D98" s="7"/>
    </x:row>
    <x:row r="99">
      <x:c r="D99" s="7"/>
    </x:row>
    <x:row r="100">
      <x:c r="D100" s="7"/>
    </x:row>
    <x:row r="101">
      <x:c r="D101" s="7"/>
    </x:row>
    <x:row r="102">
      <x:c r="D102" s="7"/>
    </x:row>
    <x:row r="103">
      <x:c r="D103" s="7"/>
    </x:row>
    <x:row r="104">
      <x:c r="D104" s="7"/>
    </x:row>
    <x:row r="105">
      <x:c r="D105" s="7"/>
    </x:row>
    <x:row r="106">
      <x:c r="D106" s="7"/>
    </x:row>
    <x:row r="107">
      <x:c r="D107" s="7"/>
    </x:row>
    <x:row r="108">
      <x:c r="D108" s="7"/>
    </x:row>
    <x:row r="109">
      <x:c r="D109" s="7"/>
    </x:row>
    <x:row r="110">
      <x:c r="D110" s="7"/>
    </x:row>
    <x:row r="111">
      <x:c r="D111" s="7"/>
    </x:row>
    <x:row r="112">
      <x:c r="D112" s="7"/>
    </x:row>
    <x:row r="113">
      <x:c r="D113" s="7"/>
    </x:row>
    <x:row r="114">
      <x:c r="D114" s="7"/>
    </x:row>
    <x:row r="115">
      <x:c r="D115" s="7"/>
    </x:row>
    <x:row r="116">
      <x:c r="D116" s="7"/>
    </x:row>
    <x:row r="117">
      <x:c r="D117" s="7"/>
    </x:row>
    <x:row r="118">
      <x:c r="D118" s="7"/>
    </x:row>
    <x:row r="119">
      <x:c r="D119" s="7"/>
    </x:row>
    <x:row r="120">
      <x:c r="D120" s="7"/>
    </x:row>
    <x:row r="121">
      <x:c r="D121" s="7"/>
    </x:row>
    <x:row r="122">
      <x:c r="D122" s="7"/>
    </x:row>
    <x:row r="123">
      <x:c r="D123" s="7"/>
    </x:row>
    <x:row r="124">
      <x:c r="D124" s="7"/>
    </x:row>
    <x:row r="125">
      <x:c r="D125" s="7"/>
    </x:row>
    <x:row r="126">
      <x:c r="D126" s="7"/>
    </x:row>
    <x:row r="127">
      <x:c r="D127" s="7"/>
    </x:row>
    <x:row r="128">
      <x:c r="D128" s="7"/>
    </x:row>
    <x:row r="129">
      <x:c r="D129" s="7"/>
    </x:row>
    <x:row r="130">
      <x:c r="D130" s="7"/>
    </x:row>
    <x:row r="131">
      <x:c r="D131" s="7"/>
    </x:row>
    <x:row r="132">
      <x:c r="D132" s="7"/>
    </x:row>
    <x:row r="133">
      <x:c r="D133" s="7"/>
    </x:row>
    <x:row r="134">
      <x:c r="D134" s="7"/>
    </x:row>
    <x:row r="135">
      <x:c r="D135" s="7"/>
    </x:row>
    <x:row r="136">
      <x:c r="D136" s="7"/>
    </x:row>
    <x:row r="137">
      <x:c r="D137" s="7"/>
    </x:row>
    <x:row r="138">
      <x:c r="D138" s="7"/>
    </x:row>
    <x:row r="139">
      <x:c r="D139" s="7"/>
    </x:row>
    <x:row r="140">
      <x:c r="D140" s="7"/>
    </x:row>
    <x:row r="141">
      <x:c r="D141" s="7"/>
    </x:row>
    <x:row r="142">
      <x:c r="D142" s="7"/>
    </x:row>
    <x:row r="143">
      <x:c r="D143" s="7"/>
    </x:row>
    <x:row r="144">
      <x:c r="D144" s="7"/>
    </x:row>
    <x:row r="145">
      <x:c r="D145" s="7"/>
    </x:row>
    <x:row r="146">
      <x:c r="D146" s="7"/>
    </x:row>
    <x:row r="147">
      <x:c r="D147" s="7"/>
    </x:row>
    <x:row r="148">
      <x:c r="D148" s="7"/>
    </x:row>
    <x:row r="149">
      <x:c r="D149" s="7"/>
    </x:row>
    <x:row r="150">
      <x:c r="D150" s="7"/>
    </x:row>
    <x:row r="151">
      <x:c r="D151" s="7"/>
    </x:row>
    <x:row r="152">
      <x:c r="D152" s="7"/>
    </x:row>
    <x:row r="153">
      <x:c r="D153" s="7"/>
    </x:row>
    <x:row r="154">
      <x:c r="D154" s="7"/>
    </x:row>
    <x:row r="155">
      <x:c r="D155" s="7"/>
    </x:row>
    <x:row r="156">
      <x:c r="D156" s="7"/>
    </x:row>
    <x:row r="157">
      <x:c r="D157" s="7"/>
    </x:row>
    <x:row r="158">
      <x:c r="D158" s="7"/>
    </x:row>
    <x:row r="159">
      <x:c r="D159" s="7"/>
    </x:row>
    <x:row r="160">
      <x:c r="D160" s="7"/>
    </x:row>
    <x:row r="161">
      <x:c r="D161" s="7"/>
    </x:row>
    <x:row r="162">
      <x:c r="D162" s="7"/>
    </x:row>
    <x:row r="163">
      <x:c r="D163" s="7"/>
    </x:row>
    <x:row r="164">
      <x:c r="D164" s="7"/>
    </x:row>
    <x:row r="165">
      <x:c r="D165" s="7"/>
    </x:row>
    <x:row r="166">
      <x:c r="D166" s="7"/>
    </x:row>
    <x:row r="167">
      <x:c r="D167" s="7"/>
    </x:row>
    <x:row r="168">
      <x:c r="D168" s="7"/>
    </x:row>
    <x:row r="169">
      <x:c r="D169" s="7"/>
    </x:row>
    <x:row r="170">
      <x:c r="D170" s="7"/>
    </x:row>
    <x:row r="171">
      <x:c r="D171" s="7"/>
    </x:row>
    <x:row r="172">
      <x:c r="D172" s="7"/>
    </x:row>
    <x:row r="173">
      <x:c r="D173" s="7"/>
    </x:row>
    <x:row r="174">
      <x:c r="D174" s="7"/>
    </x:row>
    <x:row r="175">
      <x:c r="D175" s="7"/>
    </x:row>
    <x:row r="176">
      <x:c r="D176" s="7"/>
    </x:row>
    <x:row r="177">
      <x:c r="D177" s="7"/>
    </x:row>
    <x:row r="178">
      <x:c r="D178" s="7"/>
    </x:row>
    <x:row r="179">
      <x:c r="D179" s="7"/>
    </x:row>
    <x:row r="180">
      <x:c r="D180" s="7"/>
    </x:row>
    <x:row r="181">
      <x:c r="D181" s="7"/>
    </x:row>
    <x:row r="182">
      <x:c r="D182" s="7"/>
    </x:row>
    <x:row r="183">
      <x:c r="D183" s="7"/>
    </x:row>
    <x:row r="184">
      <x:c r="D184" s="7"/>
    </x:row>
    <x:row r="185">
      <x:c r="D185" s="7"/>
    </x:row>
    <x:row r="186">
      <x:c r="D186" s="7"/>
    </x:row>
    <x:row r="187">
      <x:c r="D187" s="7"/>
    </x:row>
    <x:row r="188">
      <x:c r="D188" s="7"/>
    </x:row>
    <x:row r="189">
      <x:c r="D189" s="7"/>
    </x:row>
    <x:row r="190">
      <x:c r="D190" s="7"/>
    </x:row>
    <x:row r="191">
      <x:c r="D191" s="7"/>
    </x:row>
    <x:row r="192">
      <x:c r="D192" s="7"/>
    </x:row>
    <x:row r="193">
      <x:c r="D193" s="7"/>
    </x:row>
    <x:row r="194">
      <x:c r="D194" s="7"/>
    </x:row>
    <x:row r="195">
      <x:c r="D195" s="7"/>
    </x:row>
    <x:row r="196">
      <x:c r="D196" s="7"/>
    </x:row>
    <x:row r="197">
      <x:c r="D197" s="7"/>
    </x:row>
    <x:row r="198">
      <x:c r="D198" s="7"/>
    </x:row>
    <x:row r="199">
      <x:c r="D199" s="7"/>
    </x:row>
    <x:row r="200">
      <x:c r="D200" s="7"/>
    </x:row>
    <x:row r="201">
      <x:c r="D201" s="7"/>
    </x:row>
    <x:row r="202">
      <x:c r="D202" s="7"/>
    </x:row>
    <x:row r="203">
      <x:c r="D203" s="7"/>
    </x:row>
  </x:sheetData>
  <x:dataValidations count="1">
    <x:dataValidation type="list" sqref="C4:C203">
      <x:formula1>"Entrada,Saída"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8" hidden="0" customWidth="1"/>
    <x:col min="4" max="4" width="21" hidden="0" customWidth="1"/>
    <x:col min="5" max="5" width="25" hidden="0" customWidth="1"/>
    <x:col min="6" max="6" width="26" hidden="0" customWidth="1"/>
    <x:col min="7" max="7" width="69" hidden="0" customWidth="1"/>
  </x:cols>
  <x:sheetData>
    <x:row r="1">
      <x:c r="A1" s="1" t="str">
        <x:v>MARCATTA | Resultado mensal</x:v>
      </x:c>
    </x:row>
    <x:row r="3" ht="32" customHeight="1">
      <x:c r="A3" s="5" t="str">
        <x:v>Mês início</x:v>
      </x:c>
      <x:c r="B3" s="5" t="str">
        <x:v>Receita faturada informada</x:v>
      </x:c>
      <x:c r="C3" s="5" t="str">
        <x:v>Custos variáveis informados</x:v>
      </x:c>
      <x:c r="D3" s="5" t="str">
        <x:v>Contribuição</x:v>
      </x:c>
      <x:c r="E3" s="5" t="str">
        <x:v>Despesa fixa informada</x:v>
      </x:c>
      <x:c r="F3" s="5" t="str">
        <x:v>Resultado gerencial</x:v>
      </x:c>
      <x:c r="G3" s="5" t="str">
        <x:v>Observação</x:v>
      </x:c>
    </x:row>
    <x:row r="4">
      <x:c r="A4" s="9" t="n">
        <x:v>46296</x:v>
      </x:c>
      <x:c r="B4" s="7" t="str">
        <x:f>IF(COUNTIFS(Projetos!D$4:D$103,"&gt;="&amp;A4,Projetos!D$4:D$103,"&lt;"&amp;EDATE(A4,1),Projetos!V$4:V$103,"Completo")=0,"",SUMIFS(Projetos!R$4:R$103,Projetos!D$4:D$103,"&gt;="&amp;A4,Projetos!D$4:D$103,"&lt;"&amp;EDATE(A4,1)))</x:f>
      </x:c>
      <x:c r="C4" s="7" t="str">
        <x:f>IF(B4="","",B4-SUMIFS(Projetos!S$4:S$103,Projetos!D$4:D$103,"&gt;="&amp;A4,Projetos!D$4:D$103,"&lt;"&amp;EDATE(A4,1)))</x:f>
      </x:c>
      <x:c r="D4" s="7" t="str">
        <x:f>IF(B4="","",B4-C4)</x:f>
      </x:c>
      <x:c r="E4" s="7"/>
      <x:c r="F4" s="7" t="str">
        <x:f>IF(OR(D4="",E4=""),"",D4-E4)</x:f>
      </x:c>
      <x:c r="G4" t="str">
        <x:v>Gerencial; mês do pedido não equivale necessariamente ao reconhecimento contábil.</x:v>
      </x:c>
    </x:row>
    <x:row r="5">
      <x:c r="A5" s="9" t="n">
        <x:v>46327</x:v>
      </x:c>
      <x:c r="B5" s="7" t="str">
        <x:f>IF(COUNTIFS(Projetos!D$4:D$103,"&gt;="&amp;A5,Projetos!D$4:D$103,"&lt;"&amp;EDATE(A5,1),Projetos!V$4:V$103,"Completo")=0,"",SUMIFS(Projetos!R$4:R$103,Projetos!D$4:D$103,"&gt;="&amp;A5,Projetos!D$4:D$103,"&lt;"&amp;EDATE(A5,1)))</x:f>
      </x:c>
      <x:c r="C5" s="7" t="str">
        <x:f>IF(B5="","",B5-SUMIFS(Projetos!S$4:S$103,Projetos!D$4:D$103,"&gt;="&amp;A5,Projetos!D$4:D$103,"&lt;"&amp;EDATE(A5,1)))</x:f>
      </x:c>
      <x:c r="D5" s="7" t="str">
        <x:f>IF(B5="","",B5-C5)</x:f>
      </x:c>
      <x:c r="E5" s="7"/>
      <x:c r="F5" s="7" t="str">
        <x:f>IF(OR(D5="",E5=""),"",D5-E5)</x:f>
      </x:c>
      <x:c r="G5" t="str">
        <x:v>Gerencial; mês do pedido não equivale necessariamente ao reconhecimento contábil.</x:v>
      </x:c>
    </x:row>
    <x:row r="6">
      <x:c r="A6" s="9" t="n">
        <x:v>46357</x:v>
      </x:c>
      <x:c r="B6" s="7" t="str">
        <x:f>IF(COUNTIFS(Projetos!D$4:D$103,"&gt;="&amp;A6,Projetos!D$4:D$103,"&lt;"&amp;EDATE(A6,1),Projetos!V$4:V$103,"Completo")=0,"",SUMIFS(Projetos!R$4:R$103,Projetos!D$4:D$103,"&gt;="&amp;A6,Projetos!D$4:D$103,"&lt;"&amp;EDATE(A6,1)))</x:f>
      </x:c>
      <x:c r="C6" s="7" t="str">
        <x:f>IF(B6="","",B6-SUMIFS(Projetos!S$4:S$103,Projetos!D$4:D$103,"&gt;="&amp;A6,Projetos!D$4:D$103,"&lt;"&amp;EDATE(A6,1)))</x:f>
      </x:c>
      <x:c r="D6" s="7" t="str">
        <x:f>IF(B6="","",B6-C6)</x:f>
      </x:c>
      <x:c r="E6" s="7"/>
      <x:c r="F6" s="7" t="str">
        <x:f>IF(OR(D6="",E6=""),"",D6-E6)</x:f>
      </x:c>
      <x:c r="G6" t="str">
        <x:v>Gerencial; mês do pedido não equivale necessariamente ao reconhecimento contábil.</x:v>
      </x:c>
    </x:row>
    <x:row r="7">
      <x:c r="A7" s="9" t="n">
        <x:v>46388</x:v>
      </x:c>
      <x:c r="B7" s="7" t="str">
        <x:f>IF(COUNTIFS(Projetos!D$4:D$103,"&gt;="&amp;A7,Projetos!D$4:D$103,"&lt;"&amp;EDATE(A7,1),Projetos!V$4:V$103,"Completo")=0,"",SUMIFS(Projetos!R$4:R$103,Projetos!D$4:D$103,"&gt;="&amp;A7,Projetos!D$4:D$103,"&lt;"&amp;EDATE(A7,1)))</x:f>
      </x:c>
      <x:c r="C7" s="7" t="str">
        <x:f>IF(B7="","",B7-SUMIFS(Projetos!S$4:S$103,Projetos!D$4:D$103,"&gt;="&amp;A7,Projetos!D$4:D$103,"&lt;"&amp;EDATE(A7,1)))</x:f>
      </x:c>
      <x:c r="D7" s="7" t="str">
        <x:f>IF(B7="","",B7-C7)</x:f>
      </x:c>
      <x:c r="E7" s="7"/>
      <x:c r="F7" s="7" t="str">
        <x:f>IF(OR(D7="",E7=""),"",D7-E7)</x:f>
      </x:c>
      <x:c r="G7" t="str">
        <x:v>Gerencial; mês do pedido não equivale necessariamente ao reconhecimento contábil.</x:v>
      </x:c>
    </x:row>
    <x:row r="8">
      <x:c r="A8" s="9" t="n">
        <x:v>46419</x:v>
      </x:c>
      <x:c r="B8" s="7" t="str">
        <x:f>IF(COUNTIFS(Projetos!D$4:D$103,"&gt;="&amp;A8,Projetos!D$4:D$103,"&lt;"&amp;EDATE(A8,1),Projetos!V$4:V$103,"Completo")=0,"",SUMIFS(Projetos!R$4:R$103,Projetos!D$4:D$103,"&gt;="&amp;A8,Projetos!D$4:D$103,"&lt;"&amp;EDATE(A8,1)))</x:f>
      </x:c>
      <x:c r="C8" s="7" t="str">
        <x:f>IF(B8="","",B8-SUMIFS(Projetos!S$4:S$103,Projetos!D$4:D$103,"&gt;="&amp;A8,Projetos!D$4:D$103,"&lt;"&amp;EDATE(A8,1)))</x:f>
      </x:c>
      <x:c r="D8" s="7" t="str">
        <x:f>IF(B8="","",B8-C8)</x:f>
      </x:c>
      <x:c r="E8" s="7"/>
      <x:c r="F8" s="7" t="str">
        <x:f>IF(OR(D8="",E8=""),"",D8-E8)</x:f>
      </x:c>
      <x:c r="G8" t="str">
        <x:v>Gerencial; mês do pedido não equivale necessariamente ao reconhecimento contábil.</x:v>
      </x:c>
    </x:row>
    <x:row r="9">
      <x:c r="A9" s="9" t="n">
        <x:v>46447</x:v>
      </x:c>
      <x:c r="B9" s="7" t="str">
        <x:f>IF(COUNTIFS(Projetos!D$4:D$103,"&gt;="&amp;A9,Projetos!D$4:D$103,"&lt;"&amp;EDATE(A9,1),Projetos!V$4:V$103,"Completo")=0,"",SUMIFS(Projetos!R$4:R$103,Projetos!D$4:D$103,"&gt;="&amp;A9,Projetos!D$4:D$103,"&lt;"&amp;EDATE(A9,1)))</x:f>
      </x:c>
      <x:c r="C9" s="7" t="str">
        <x:f>IF(B9="","",B9-SUMIFS(Projetos!S$4:S$103,Projetos!D$4:D$103,"&gt;="&amp;A9,Projetos!D$4:D$103,"&lt;"&amp;EDATE(A9,1)))</x:f>
      </x:c>
      <x:c r="D9" s="7" t="str">
        <x:f>IF(B9="","",B9-C9)</x:f>
      </x:c>
      <x:c r="E9" s="7"/>
      <x:c r="F9" s="7" t="str">
        <x:f>IF(OR(D9="",E9=""),"",D9-E9)</x:f>
      </x:c>
      <x:c r="G9" t="str">
        <x:v>Gerencial; mês do pedido não equivale necessariamente ao reconhecimento contábil.</x:v>
      </x:c>
    </x:row>
    <x:row r="10">
      <x:c r="A10" s="9" t="n">
        <x:v>46478</x:v>
      </x:c>
      <x:c r="B10" s="7" t="str">
        <x:f>IF(COUNTIFS(Projetos!D$4:D$103,"&gt;="&amp;A10,Projetos!D$4:D$103,"&lt;"&amp;EDATE(A10,1),Projetos!V$4:V$103,"Completo")=0,"",SUMIFS(Projetos!R$4:R$103,Projetos!D$4:D$103,"&gt;="&amp;A10,Projetos!D$4:D$103,"&lt;"&amp;EDATE(A10,1)))</x:f>
      </x:c>
      <x:c r="C10" s="7" t="str">
        <x:f>IF(B10="","",B10-SUMIFS(Projetos!S$4:S$103,Projetos!D$4:D$103,"&gt;="&amp;A10,Projetos!D$4:D$103,"&lt;"&amp;EDATE(A10,1)))</x:f>
      </x:c>
      <x:c r="D10" s="7" t="str">
        <x:f>IF(B10="","",B10-C10)</x:f>
      </x:c>
      <x:c r="E10" s="7"/>
      <x:c r="F10" s="7" t="str">
        <x:f>IF(OR(D10="",E10=""),"",D10-E10)</x:f>
      </x:c>
      <x:c r="G10" t="str">
        <x:v>Gerencial; mês do pedido não equivale necessariamente ao reconhecimento contábil.</x:v>
      </x:c>
    </x:row>
    <x:row r="11">
      <x:c r="A11" s="9" t="n">
        <x:v>46508</x:v>
      </x:c>
      <x:c r="B11" s="7" t="str">
        <x:f>IF(COUNTIFS(Projetos!D$4:D$103,"&gt;="&amp;A11,Projetos!D$4:D$103,"&lt;"&amp;EDATE(A11,1),Projetos!V$4:V$103,"Completo")=0,"",SUMIFS(Projetos!R$4:R$103,Projetos!D$4:D$103,"&gt;="&amp;A11,Projetos!D$4:D$103,"&lt;"&amp;EDATE(A11,1)))</x:f>
      </x:c>
      <x:c r="C11" s="7" t="str">
        <x:f>IF(B11="","",B11-SUMIFS(Projetos!S$4:S$103,Projetos!D$4:D$103,"&gt;="&amp;A11,Projetos!D$4:D$103,"&lt;"&amp;EDATE(A11,1)))</x:f>
      </x:c>
      <x:c r="D11" s="7" t="str">
        <x:f>IF(B11="","",B11-C11)</x:f>
      </x:c>
      <x:c r="E11" s="7"/>
      <x:c r="F11" s="7" t="str">
        <x:f>IF(OR(D11="",E11=""),"",D11-E11)</x:f>
      </x:c>
      <x:c r="G11" t="str">
        <x:v>Gerencial; mês do pedido não equivale necessariamente ao reconhecimento contábil.</x:v>
      </x:c>
    </x:row>
    <x:row r="12">
      <x:c r="A12" s="9" t="n">
        <x:v>46539</x:v>
      </x:c>
      <x:c r="B12" s="7" t="str">
        <x:f>IF(COUNTIFS(Projetos!D$4:D$103,"&gt;="&amp;A12,Projetos!D$4:D$103,"&lt;"&amp;EDATE(A12,1),Projetos!V$4:V$103,"Completo")=0,"",SUMIFS(Projetos!R$4:R$103,Projetos!D$4:D$103,"&gt;="&amp;A12,Projetos!D$4:D$103,"&lt;"&amp;EDATE(A12,1)))</x:f>
      </x:c>
      <x:c r="C12" s="7" t="str">
        <x:f>IF(B12="","",B12-SUMIFS(Projetos!S$4:S$103,Projetos!D$4:D$103,"&gt;="&amp;A12,Projetos!D$4:D$103,"&lt;"&amp;EDATE(A12,1)))</x:f>
      </x:c>
      <x:c r="D12" s="7" t="str">
        <x:f>IF(B12="","",B12-C12)</x:f>
      </x:c>
      <x:c r="E12" s="7"/>
      <x:c r="F12" s="7" t="str">
        <x:f>IF(OR(D12="",E12=""),"",D12-E12)</x:f>
      </x:c>
      <x:c r="G12" t="str">
        <x:v>Gerencial; mês do pedido não equivale necessariamente ao reconhecimento contábil.</x:v>
      </x:c>
    </x:row>
    <x:row r="13">
      <x:c r="A13" s="9" t="n">
        <x:v>46569</x:v>
      </x:c>
      <x:c r="B13" s="7" t="str">
        <x:f>IF(COUNTIFS(Projetos!D$4:D$103,"&gt;="&amp;A13,Projetos!D$4:D$103,"&lt;"&amp;EDATE(A13,1),Projetos!V$4:V$103,"Completo")=0,"",SUMIFS(Projetos!R$4:R$103,Projetos!D$4:D$103,"&gt;="&amp;A13,Projetos!D$4:D$103,"&lt;"&amp;EDATE(A13,1)))</x:f>
      </x:c>
      <x:c r="C13" s="7" t="str">
        <x:f>IF(B13="","",B13-SUMIFS(Projetos!S$4:S$103,Projetos!D$4:D$103,"&gt;="&amp;A13,Projetos!D$4:D$103,"&lt;"&amp;EDATE(A13,1)))</x:f>
      </x:c>
      <x:c r="D13" s="7" t="str">
        <x:f>IF(B13="","",B13-C13)</x:f>
      </x:c>
      <x:c r="E13" s="7"/>
      <x:c r="F13" s="7" t="str">
        <x:f>IF(OR(D13="",E13=""),"",D13-E13)</x:f>
      </x:c>
      <x:c r="G13" t="str">
        <x:v>Gerencial; mês do pedido não equivale necessariamente ao reconhecimento contábil.</x:v>
      </x:c>
    </x:row>
    <x:row r="14">
      <x:c r="A14" s="9" t="n">
        <x:v>46600</x:v>
      </x:c>
      <x:c r="B14" s="7" t="str">
        <x:f>IF(COUNTIFS(Projetos!D$4:D$103,"&gt;="&amp;A14,Projetos!D$4:D$103,"&lt;"&amp;EDATE(A14,1),Projetos!V$4:V$103,"Completo")=0,"",SUMIFS(Projetos!R$4:R$103,Projetos!D$4:D$103,"&gt;="&amp;A14,Projetos!D$4:D$103,"&lt;"&amp;EDATE(A14,1)))</x:f>
      </x:c>
      <x:c r="C14" s="7" t="str">
        <x:f>IF(B14="","",B14-SUMIFS(Projetos!S$4:S$103,Projetos!D$4:D$103,"&gt;="&amp;A14,Projetos!D$4:D$103,"&lt;"&amp;EDATE(A14,1)))</x:f>
      </x:c>
      <x:c r="D14" s="7" t="str">
        <x:f>IF(B14="","",B14-C14)</x:f>
      </x:c>
      <x:c r="E14" s="7"/>
      <x:c r="F14" s="7" t="str">
        <x:f>IF(OR(D14="",E14=""),"",D14-E14)</x:f>
      </x:c>
      <x:c r="G14" t="str">
        <x:v>Gerencial; mês do pedido não equivale necessariamente ao reconhecimento contábil.</x:v>
      </x:c>
    </x:row>
    <x:row r="15">
      <x:c r="A15" s="9" t="n">
        <x:v>46631</x:v>
      </x:c>
      <x:c r="B15" s="7" t="str">
        <x:f>IF(COUNTIFS(Projetos!D$4:D$103,"&gt;="&amp;A15,Projetos!D$4:D$103,"&lt;"&amp;EDATE(A15,1),Projetos!V$4:V$103,"Completo")=0,"",SUMIFS(Projetos!R$4:R$103,Projetos!D$4:D$103,"&gt;="&amp;A15,Projetos!D$4:D$103,"&lt;"&amp;EDATE(A15,1)))</x:f>
      </x:c>
      <x:c r="C15" s="7" t="str">
        <x:f>IF(B15="","",B15-SUMIFS(Projetos!S$4:S$103,Projetos!D$4:D$103,"&gt;="&amp;A15,Projetos!D$4:D$103,"&lt;"&amp;EDATE(A15,1)))</x:f>
      </x:c>
      <x:c r="D15" s="7" t="str">
        <x:f>IF(B15="","",B15-C15)</x:f>
      </x:c>
      <x:c r="E15" s="7"/>
      <x:c r="F15" s="7" t="str">
        <x:f>IF(OR(D15="",E15=""),"",D15-E15)</x:f>
      </x:c>
      <x:c r="G15" t="str">
        <x:v>Gerencial; mês do pedido não equivale necessariamente ao reconhecimento contábil.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8" hidden="0" customWidth="1"/>
    <x:col min="4" max="4" width="35" hidden="0" customWidth="1"/>
    <x:col min="5" max="5" width="32" hidden="0" customWidth="1"/>
    <x:col min="6" max="6" width="25" hidden="0" customWidth="1"/>
    <x:col min="7" max="7" width="35" hidden="0" customWidth="1"/>
    <x:col min="8" max="8" width="23" hidden="0" customWidth="1"/>
  </x:cols>
  <x:sheetData>
    <x:row r="1">
      <x:c r="A1" s="1" t="str">
        <x:v>MARCATTA | Inauguração</x:v>
      </x:c>
    </x:row>
    <x:row r="3" ht="32" customHeight="1">
      <x:c r="A3" s="5" t="str">
        <x:v>Item</x:v>
      </x:c>
      <x:c r="B3" s="5" t="str">
        <x:v>Investimento inicial</x:v>
      </x:c>
      <x:c r="C3" s="5" t="str">
        <x:v>Despesa mensal adicional</x:v>
      </x:c>
      <x:c r="D3" s="5" t="str">
        <x:v>Demanda incremental comprovada</x:v>
      </x:c>
      <x:c r="E3" s="5" t="str">
        <x:v>Contribuição mensal incremental</x:v>
      </x:c>
      <x:c r="F3" s="5" t="str">
        <x:v>Caixa de giro requerido</x:v>
      </x:c>
      <x:c r="G3" s="5" t="str">
        <x:v>Fonte / cotação</x:v>
      </x:c>
      <x:c r="H3" s="5" t="str">
        <x:v>Aprovador</x:v>
      </x:c>
    </x:row>
    <x:row r="4">
      <x:c r="A4" t="str">
        <x:v>Aluguel e garantia</x:v>
      </x:c>
    </x:row>
    <x:row r="5">
      <x:c r="A5" t="str">
        <x:v>Adequação e licenças</x:v>
      </x:c>
    </x:row>
    <x:row r="6">
      <x:c r="A6" t="str">
        <x:v>Mobiliário e equipamentos</x:v>
      </x:c>
    </x:row>
    <x:row r="7">
      <x:c r="A7" t="str">
        <x:v>Equipe adicional</x:v>
      </x:c>
    </x:row>
    <x:row r="8">
      <x:c r="A8" t="str">
        <x:v>Marketing da abertura</x:v>
      </x:c>
    </x:row>
    <x:row r="9">
      <x:c r="A9" t="str">
        <x:v>Logística e estoque</x:v>
      </x:c>
    </x:row>
    <x:row r="10">
      <x:c r="A10" t="str">
        <x:v>Outros comprovados</x:v>
      </x:c>
    </x:row>
    <x:row r="12">
      <x:c r="A12" t="str">
        <x:v>Investimento total</x:v>
      </x:c>
      <x:c r="B12" t="str">
        <x:f>IF(COUNT(B4:B10)=0,"",SUM(B4:B10))</x:f>
      </x:c>
    </x:row>
    <x:row r="13">
      <x:c r="A13" t="str">
        <x:v>Custo fixo mensal adicional</x:v>
      </x:c>
      <x:c r="B13" t="str">
        <x:f>IF(COUNT(C4:C10)=0,"",SUM(C4:C10))</x:f>
      </x:c>
    </x:row>
    <x:row r="14">
      <x:c r="A14" t="str">
        <x:v>Contribuição incremental prevista</x:v>
      </x:c>
      <x:c r="B14" t="str">
        <x:f>IF(COUNT(E4:E10)=0,"",SUM(E4:E10))</x:f>
      </x:c>
    </x:row>
    <x:row r="15">
      <x:c r="A15" t="str">
        <x:v>Resultado incremental mensal</x:v>
      </x:c>
      <x:c r="B15" t="str">
        <x:f>IF(OR(B13="",B14=""),"",B14-B13)</x:f>
      </x:c>
    </x:row>
    <x:row r="16">
      <x:c r="A16" t="str">
        <x:v>Retorno simples em meses</x:v>
      </x:c>
      <x:c r="B16" t="str">
        <x:f>IF(OR(B12="",B15="",B15&lt;=0),"",B12/B15)</x:f>
      </x:c>
    </x:row>
  </x:sheetData>
  <x:pageMargins left="0.7" right="0.7" top="0.75" bottom="0.75" header="0.3" footer="0.3"/>
</x:worksheet>
</file>