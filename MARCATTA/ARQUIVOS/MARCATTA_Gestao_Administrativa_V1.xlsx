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b8e3c4a64141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inel" sheetId="1" r:id="Ra6dc040e058143d1"/>
    <x:sheet xmlns:r="http://schemas.openxmlformats.org/officeDocument/2006/relationships" name="CRM" sheetId="2" r:id="Re277395ed538423a"/>
    <x:sheet xmlns:r="http://schemas.openxmlformats.org/officeDocument/2006/relationships" name="Pedidos" sheetId="3" r:id="R883dc5d3dde041d2"/>
    <x:sheet xmlns:r="http://schemas.openxmlformats.org/officeDocument/2006/relationships" name="Fornecedores" sheetId="4" r:id="R382d4b2fe2674cd2"/>
    <x:sheet xmlns:r="http://schemas.openxmlformats.org/officeDocument/2006/relationships" name="Qualidade" sheetId="5" r:id="Rfaa9dfb44ca44ebe"/>
    <x:sheet xmlns:r="http://schemas.openxmlformats.org/officeDocument/2006/relationships" name="Implantação" sheetId="6" r:id="R8ba3ddffcbe54c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07266F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7266F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7ddd93ae6f4393" /><Relationship Type="http://schemas.openxmlformats.org/officeDocument/2006/relationships/theme" Target="/xl/theme/theme1.xml" Id="R1fb00401ae174e84" /><Relationship Type="http://schemas.openxmlformats.org/officeDocument/2006/relationships/sharedStrings" Target="/xl/sharedStrings.xml" Id="Rbac00716200348f9" /><Relationship Type="http://schemas.openxmlformats.org/officeDocument/2006/relationships/worksheet" Target="/xl/worksheets/sheet1.xml" Id="Ra6dc040e058143d1" /><Relationship Type="http://schemas.openxmlformats.org/officeDocument/2006/relationships/worksheet" Target="/xl/worksheets/sheet2.xml" Id="Re277395ed538423a" /><Relationship Type="http://schemas.openxmlformats.org/officeDocument/2006/relationships/worksheet" Target="/xl/worksheets/sheet3.xml" Id="R883dc5d3dde041d2" /><Relationship Type="http://schemas.openxmlformats.org/officeDocument/2006/relationships/worksheet" Target="/xl/worksheets/sheet4.xml" Id="R382d4b2fe2674cd2" /><Relationship Type="http://schemas.openxmlformats.org/officeDocument/2006/relationships/worksheet" Target="/xl/worksheets/sheet5.xml" Id="Rfaa9dfb44ca44ebe" /><Relationship Type="http://schemas.openxmlformats.org/officeDocument/2006/relationships/worksheet" Target="/xl/worksheets/sheet6.xml" Id="R8ba3ddffcbe54c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19" hidden="0" customWidth="1"/>
    <x:col min="3" max="3" width="26" hidden="0" customWidth="1"/>
    <x:col min="4" max="4" width="75" hidden="0" customWidth="1"/>
  </x:cols>
  <x:sheetData>
    <x:row r="1">
      <x:c r="A1" s="1" t="str">
        <x:v>MARCATTA | Painel</x:v>
      </x:c>
    </x:row>
    <x:row r="3" ht="32" customHeight="1">
      <x:c r="A3" s="5" t="str">
        <x:v>Indicador</x:v>
      </x:c>
      <x:c r="B3" s="5" t="str">
        <x:v>Valor</x:v>
      </x:c>
      <x:c r="C3" s="5" t="str">
        <x:v>Origem</x:v>
      </x:c>
      <x:c r="D3" s="5" t="str">
        <x:v>Critério</x:v>
      </x:c>
    </x:row>
    <x:row r="4">
      <x:c r="A4" t="str">
        <x:v>Oportunidades registradas</x:v>
      </x:c>
      <x:c r="B4" t="n">
        <x:f>COUNTA(CRM!A4:A103)</x:f>
        <x:v>0</x:v>
      </x:c>
      <x:c r="C4" t="str">
        <x:v>CRM</x:v>
      </x:c>
      <x:c r="D4" t="str">
        <x:v>ID preenchido.</x:v>
      </x:c>
    </x:row>
    <x:row r="5">
      <x:c r="A5" t="str">
        <x:v>Propostas emitidas</x:v>
      </x:c>
      <x:c r="B5" t="n">
        <x:f>COUNTIF(CRM!I4:I103,"Proposta")</x:f>
        <x:v>0</x:v>
      </x:c>
      <x:c r="C5" t="str">
        <x:v>CRM</x:v>
      </x:c>
      <x:c r="D5" t="str">
        <x:v>Etapa Proposta.</x:v>
      </x:c>
    </x:row>
    <x:row r="6">
      <x:c r="A6" t="str">
        <x:v>Pedidos aceitos</x:v>
      </x:c>
      <x:c r="B6" t="n">
        <x:f>COUNTIF(Pedidos!E4:E103,"Aceito")</x:f>
        <x:v>0</x:v>
      </x:c>
      <x:c r="C6" t="str">
        <x:v>Pedidos</x:v>
      </x:c>
      <x:c r="D6" t="str">
        <x:v>Status Aceito.</x:v>
      </x:c>
    </x:row>
    <x:row r="7">
      <x:c r="A7" t="str">
        <x:v>Pedidos com prova aprovada</x:v>
      </x:c>
      <x:c r="B7" t="n">
        <x:f>COUNTIF(Pedidos!K4:K103,"Sim")</x:f>
        <x:v>0</x:v>
      </x:c>
      <x:c r="C7" t="str">
        <x:v>Pedidos</x:v>
      </x:c>
      <x:c r="D7" t="str">
        <x:v>Aprovação formal registrada em pedido.</x:v>
      </x:c>
    </x:row>
    <x:row r="8">
      <x:c r="A8" t="str">
        <x:v>Pedidos entregues</x:v>
      </x:c>
      <x:c r="B8" t="n">
        <x:f>COUNTIF(Pedidos!E4:E103,"Entregue")</x:f>
        <x:v>0</x:v>
      </x:c>
      <x:c r="C8" t="str">
        <x:v>Pedidos</x:v>
      </x:c>
      <x:c r="D8" t="str">
        <x:v>Status Entregue.</x:v>
      </x:c>
    </x:row>
    <x:row r="9">
      <x:c r="A9" t="str">
        <x:v>Fornecedores homologados</x:v>
      </x:c>
      <x:c r="B9" t="n">
        <x:f>COUNTIF(Fornecedores!J4:J103,"Homologado")</x:f>
        <x:v>0</x:v>
      </x:c>
      <x:c r="C9" t="str">
        <x:v>Fornecedores</x:v>
      </x:c>
      <x:c r="D9" t="str">
        <x:v>Status Homologado, após amostra e cotação.</x:v>
      </x:c>
    </x:row>
    <x:row r="10">
      <x:c r="A10" t="str">
        <x:v>Não conformidades abertas</x:v>
      </x:c>
      <x:c r="B10" t="n">
        <x:f>COUNTIF(Qualidade!I4:I103,"Aberta")</x:f>
        <x:v>0</x:v>
      </x:c>
      <x:c r="C10" t="str">
        <x:v>Qualidade</x:v>
      </x:c>
      <x:c r="D10" t="str">
        <x:v>Registro não encerrado.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27" hidden="0" customWidth="1"/>
    <x:col min="3" max="3" width="25" hidden="0" customWidth="1"/>
    <x:col min="4" max="4" width="20" hidden="0" customWidth="1"/>
    <x:col min="5" max="5" width="23" hidden="0" customWidth="1"/>
    <x:col min="6" max="6" width="14" hidden="0" customWidth="1"/>
    <x:col min="7" max="7" width="20" hidden="0" customWidth="1"/>
    <x:col min="8" max="8" width="16" hidden="0" customWidth="1"/>
    <x:col min="9" max="9" width="20" hidden="0" customWidth="1"/>
    <x:col min="10" max="10" width="27" hidden="0" customWidth="1"/>
    <x:col min="11" max="11" width="19" hidden="0" customWidth="1"/>
    <x:col min="12" max="12" width="16" hidden="0" customWidth="1"/>
    <x:col min="13" max="13" width="25" hidden="0" customWidth="1"/>
    <x:col min="14" max="14" width="16" hidden="0" customWidth="1"/>
  </x:cols>
  <x:sheetData>
    <x:row r="1">
      <x:c r="A1" s="1" t="str">
        <x:v>MARCATTA | CRM</x:v>
      </x:c>
    </x:row>
    <x:row r="3" ht="32" customHeight="1">
      <x:c r="A3" s="5" t="str">
        <x:v>ID</x:v>
      </x:c>
      <x:c r="B3" s="5" t="str">
        <x:v>Empresa</x:v>
      </x:c>
      <x:c r="C3" s="5" t="str">
        <x:v>Contato / função</x:v>
      </x:c>
      <x:c r="D3" s="5" t="str">
        <x:v>Canal</x:v>
      </x:c>
      <x:c r="E3" s="5" t="str">
        <x:v>Ocasião</x:v>
      </x:c>
      <x:c r="F3" s="5" t="str">
        <x:v>Quantidade</x:v>
      </x:c>
      <x:c r="G3" s="5" t="str">
        <x:v>Verba informada</x:v>
      </x:c>
      <x:c r="H3" s="5" t="str">
        <x:v>Data de uso</x:v>
      </x:c>
      <x:c r="I3" s="5" t="str">
        <x:v>Etapa</x:v>
      </x:c>
      <x:c r="J3" s="5" t="str">
        <x:v>Próxima ação</x:v>
      </x:c>
      <x:c r="K3" s="5" t="str">
        <x:v>Responsável</x:v>
      </x:c>
      <x:c r="L3" s="5" t="str">
        <x:v>Data ação</x:v>
      </x:c>
      <x:c r="M3" s="5" t="str">
        <x:v>Motivo perda</x:v>
      </x:c>
      <x:c r="N3" s="5" t="str">
        <x:v>Pedido ID</x:v>
      </x:c>
    </x:row>
  </x:sheetData>
  <x:dataValidations count="1">
    <x:dataValidation type="list" sqref="I4:I103">
      <x:formula1>"Prospecção,Qualificação,Briefing,Proposta,Negociação,Ganho,Perdido"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20" hidden="0" customWidth="1"/>
    <x:col min="4" max="4" width="24" hidden="0" customWidth="1"/>
    <x:col min="5" max="5" width="18" hidden="0" customWidth="1"/>
    <x:col min="6" max="6" width="17" hidden="0" customWidth="1"/>
    <x:col min="7" max="7" width="17" hidden="0" customWidth="1"/>
    <x:col min="8" max="8" width="17" hidden="0" customWidth="1"/>
    <x:col min="9" max="9" width="19" hidden="0" customWidth="1"/>
    <x:col min="10" max="10" width="22" hidden="0" customWidth="1"/>
    <x:col min="11" max="11" width="18" hidden="0" customWidth="1"/>
    <x:col min="12" max="12" width="19" hidden="0" customWidth="1"/>
    <x:col min="13" max="13" width="20" hidden="0" customWidth="1"/>
    <x:col min="14" max="14" width="18" hidden="0" customWidth="1"/>
    <x:col min="15" max="15" width="23" hidden="0" customWidth="1"/>
    <x:col min="16" max="16" width="18" hidden="0" customWidth="1"/>
    <x:col min="17" max="17" width="20" hidden="0" customWidth="1"/>
    <x:col min="18" max="18" width="20" hidden="0" customWidth="1"/>
    <x:col min="19" max="19" width="27" hidden="0" customWidth="1"/>
  </x:cols>
  <x:sheetData>
    <x:row r="1">
      <x:c r="A1" s="1" t="str">
        <x:v>MARCATTA | Pedidos</x:v>
      </x:c>
    </x:row>
    <x:row r="3" ht="32" customHeight="1">
      <x:c r="A3" s="5" t="str">
        <x:v>Pedido ID</x:v>
      </x:c>
      <x:c r="B3" s="5" t="str">
        <x:v>Cliente</x:v>
      </x:c>
      <x:c r="C3" s="5" t="str">
        <x:v>Proposta versão</x:v>
      </x:c>
      <x:c r="D3" s="5" t="str">
        <x:v>Ocasião</x:v>
      </x:c>
      <x:c r="E3" s="5" t="str">
        <x:v>Status</x:v>
      </x:c>
      <x:c r="F3" s="5" t="str">
        <x:v>Data do aceite</x:v>
      </x:c>
      <x:c r="G3" s="5" t="str">
        <x:v>Sinal exigido</x:v>
      </x:c>
      <x:c r="H3" s="5" t="str">
        <x:v>Sinal recebido</x:v>
      </x:c>
      <x:c r="I3" s="5" t="str">
        <x:v>Arte versão</x:v>
      </x:c>
      <x:c r="J3" s="5" t="str">
        <x:v>Aprovador arte</x:v>
      </x:c>
      <x:c r="K3" s="5" t="str">
        <x:v>Prova aprovada</x:v>
      </x:c>
      <x:c r="L3" s="5" t="str">
        <x:v>Data aprovação</x:v>
      </x:c>
      <x:c r="M3" s="5" t="str">
        <x:v>Fornecedor OC</x:v>
      </x:c>
      <x:c r="N3" s="5" t="str">
        <x:v>Data uso</x:v>
      </x:c>
      <x:c r="O3" s="5" t="str">
        <x:v>Destinos</x:v>
      </x:c>
      <x:c r="P3" s="5" t="str">
        <x:v>Expedição</x:v>
      </x:c>
      <x:c r="Q3" s="5" t="str">
        <x:v>Entrega confirmada</x:v>
      </x:c>
      <x:c r="R3" s="5" t="str">
        <x:v>Responsável</x:v>
      </x:c>
      <x:c r="S3" s="5" t="str">
        <x:v>Próxima ação</x:v>
      </x:c>
    </x:row>
    <x:row r="4">
      <x:c r="S4" t="str">
        <x:f>IF(A4="","",IF(OR(E4="Aceito",E4="Produção"),IF(OR(K4&lt;&gt;"Sim",AND(G4="Sim",H4&lt;&gt;"Sim")),"Bloquear produção: prova ou sinal pendente","Conferir OC e capacidade"),IF(E4="Expedido","Confirmar entrega","Revisar etapa")))</x:f>
      </x:c>
    </x:row>
    <x:row r="5">
      <x:c r="S5" t="str">
        <x:f>IF(A5="","",IF(OR(E5="Aceito",E5="Produção"),IF(OR(K5&lt;&gt;"Sim",AND(G5="Sim",H5&lt;&gt;"Sim")),"Bloquear produção: prova ou sinal pendente","Conferir OC e capacidade"),IF(E5="Expedido","Confirmar entrega","Revisar etapa")))</x:f>
      </x:c>
    </x:row>
    <x:row r="6">
      <x:c r="S6" t="str">
        <x:f>IF(A6="","",IF(OR(E6="Aceito",E6="Produção"),IF(OR(K6&lt;&gt;"Sim",AND(G6="Sim",H6&lt;&gt;"Sim")),"Bloquear produção: prova ou sinal pendente","Conferir OC e capacidade"),IF(E6="Expedido","Confirmar entrega","Revisar etapa")))</x:f>
      </x:c>
    </x:row>
    <x:row r="7">
      <x:c r="S7" t="str">
        <x:f>IF(A7="","",IF(OR(E7="Aceito",E7="Produção"),IF(OR(K7&lt;&gt;"Sim",AND(G7="Sim",H7&lt;&gt;"Sim")),"Bloquear produção: prova ou sinal pendente","Conferir OC e capacidade"),IF(E7="Expedido","Confirmar entrega","Revisar etapa")))</x:f>
      </x:c>
    </x:row>
    <x:row r="8">
      <x:c r="S8" t="str">
        <x:f>IF(A8="","",IF(OR(E8="Aceito",E8="Produção"),IF(OR(K8&lt;&gt;"Sim",AND(G8="Sim",H8&lt;&gt;"Sim")),"Bloquear produção: prova ou sinal pendente","Conferir OC e capacidade"),IF(E8="Expedido","Confirmar entrega","Revisar etapa")))</x:f>
      </x:c>
    </x:row>
    <x:row r="9">
      <x:c r="S9" t="str">
        <x:f>IF(A9="","",IF(OR(E9="Aceito",E9="Produção"),IF(OR(K9&lt;&gt;"Sim",AND(G9="Sim",H9&lt;&gt;"Sim")),"Bloquear produção: prova ou sinal pendente","Conferir OC e capacidade"),IF(E9="Expedido","Confirmar entrega","Revisar etapa")))</x:f>
      </x:c>
    </x:row>
    <x:row r="10">
      <x:c r="S10" t="str">
        <x:f>IF(A10="","",IF(OR(E10="Aceito",E10="Produção"),IF(OR(K10&lt;&gt;"Sim",AND(G10="Sim",H10&lt;&gt;"Sim")),"Bloquear produção: prova ou sinal pendente","Conferir OC e capacidade"),IF(E10="Expedido","Confirmar entrega","Revisar etapa")))</x:f>
      </x:c>
    </x:row>
    <x:row r="11">
      <x:c r="S11" t="str">
        <x:f>IF(A11="","",IF(OR(E11="Aceito",E11="Produção"),IF(OR(K11&lt;&gt;"Sim",AND(G11="Sim",H11&lt;&gt;"Sim")),"Bloquear produção: prova ou sinal pendente","Conferir OC e capacidade"),IF(E11="Expedido","Confirmar entrega","Revisar etapa")))</x:f>
      </x:c>
    </x:row>
    <x:row r="12">
      <x:c r="S12" t="str">
        <x:f>IF(A12="","",IF(OR(E12="Aceito",E12="Produção"),IF(OR(K12&lt;&gt;"Sim",AND(G12="Sim",H12&lt;&gt;"Sim")),"Bloquear produção: prova ou sinal pendente","Conferir OC e capacidade"),IF(E12="Expedido","Confirmar entrega","Revisar etapa")))</x:f>
      </x:c>
    </x:row>
    <x:row r="13">
      <x:c r="S13" t="str">
        <x:f>IF(A13="","",IF(OR(E13="Aceito",E13="Produção"),IF(OR(K13&lt;&gt;"Sim",AND(G13="Sim",H13&lt;&gt;"Sim")),"Bloquear produção: prova ou sinal pendente","Conferir OC e capacidade"),IF(E13="Expedido","Confirmar entrega","Revisar etapa")))</x:f>
      </x:c>
    </x:row>
    <x:row r="14">
      <x:c r="S14" t="str">
        <x:f>IF(A14="","",IF(OR(E14="Aceito",E14="Produção"),IF(OR(K14&lt;&gt;"Sim",AND(G14="Sim",H14&lt;&gt;"Sim")),"Bloquear produção: prova ou sinal pendente","Conferir OC e capacidade"),IF(E14="Expedido","Confirmar entrega","Revisar etapa")))</x:f>
      </x:c>
    </x:row>
    <x:row r="15">
      <x:c r="S15" t="str">
        <x:f>IF(A15="","",IF(OR(E15="Aceito",E15="Produção"),IF(OR(K15&lt;&gt;"Sim",AND(G15="Sim",H15&lt;&gt;"Sim")),"Bloquear produção: prova ou sinal pendente","Conferir OC e capacidade"),IF(E15="Expedido","Confirmar entrega","Revisar etapa")))</x:f>
      </x:c>
    </x:row>
    <x:row r="16">
      <x:c r="S16" t="str">
        <x:f>IF(A16="","",IF(OR(E16="Aceito",E16="Produção"),IF(OR(K16&lt;&gt;"Sim",AND(G16="Sim",H16&lt;&gt;"Sim")),"Bloquear produção: prova ou sinal pendente","Conferir OC e capacidade"),IF(E16="Expedido","Confirmar entrega","Revisar etapa")))</x:f>
      </x:c>
    </x:row>
    <x:row r="17">
      <x:c r="S17" t="str">
        <x:f>IF(A17="","",IF(OR(E17="Aceito",E17="Produção"),IF(OR(K17&lt;&gt;"Sim",AND(G17="Sim",H17&lt;&gt;"Sim")),"Bloquear produção: prova ou sinal pendente","Conferir OC e capacidade"),IF(E17="Expedido","Confirmar entrega","Revisar etapa")))</x:f>
      </x:c>
    </x:row>
    <x:row r="18">
      <x:c r="S18" t="str">
        <x:f>IF(A18="","",IF(OR(E18="Aceito",E18="Produção"),IF(OR(K18&lt;&gt;"Sim",AND(G18="Sim",H18&lt;&gt;"Sim")),"Bloquear produção: prova ou sinal pendente","Conferir OC e capacidade"),IF(E18="Expedido","Confirmar entrega","Revisar etapa")))</x:f>
      </x:c>
    </x:row>
    <x:row r="19">
      <x:c r="S19" t="str">
        <x:f>IF(A19="","",IF(OR(E19="Aceito",E19="Produção"),IF(OR(K19&lt;&gt;"Sim",AND(G19="Sim",H19&lt;&gt;"Sim")),"Bloquear produção: prova ou sinal pendente","Conferir OC e capacidade"),IF(E19="Expedido","Confirmar entrega","Revisar etapa")))</x:f>
      </x:c>
    </x:row>
    <x:row r="20">
      <x:c r="S20" t="str">
        <x:f>IF(A20="","",IF(OR(E20="Aceito",E20="Produção"),IF(OR(K20&lt;&gt;"Sim",AND(G20="Sim",H20&lt;&gt;"Sim")),"Bloquear produção: prova ou sinal pendente","Conferir OC e capacidade"),IF(E20="Expedido","Confirmar entrega","Revisar etapa")))</x:f>
      </x:c>
    </x:row>
    <x:row r="21">
      <x:c r="S21" t="str">
        <x:f>IF(A21="","",IF(OR(E21="Aceito",E21="Produção"),IF(OR(K21&lt;&gt;"Sim",AND(G21="Sim",H21&lt;&gt;"Sim")),"Bloquear produção: prova ou sinal pendente","Conferir OC e capacidade"),IF(E21="Expedido","Confirmar entrega","Revisar etapa")))</x:f>
      </x:c>
    </x:row>
    <x:row r="22">
      <x:c r="S22" t="str">
        <x:f>IF(A22="","",IF(OR(E22="Aceito",E22="Produção"),IF(OR(K22&lt;&gt;"Sim",AND(G22="Sim",H22&lt;&gt;"Sim")),"Bloquear produção: prova ou sinal pendente","Conferir OC e capacidade"),IF(E22="Expedido","Confirmar entrega","Revisar etapa")))</x:f>
      </x:c>
    </x:row>
    <x:row r="23">
      <x:c r="S23" t="str">
        <x:f>IF(A23="","",IF(OR(E23="Aceito",E23="Produção"),IF(OR(K23&lt;&gt;"Sim",AND(G23="Sim",H23&lt;&gt;"Sim")),"Bloquear produção: prova ou sinal pendente","Conferir OC e capacidade"),IF(E23="Expedido","Confirmar entrega","Revisar etapa")))</x:f>
      </x:c>
    </x:row>
    <x:row r="24">
      <x:c r="S24" t="str">
        <x:f>IF(A24="","",IF(OR(E24="Aceito",E24="Produção"),IF(OR(K24&lt;&gt;"Sim",AND(G24="Sim",H24&lt;&gt;"Sim")),"Bloquear produção: prova ou sinal pendente","Conferir OC e capacidade"),IF(E24="Expedido","Confirmar entrega","Revisar etapa")))</x:f>
      </x:c>
    </x:row>
    <x:row r="25">
      <x:c r="S25" t="str">
        <x:f>IF(A25="","",IF(OR(E25="Aceito",E25="Produção"),IF(OR(K25&lt;&gt;"Sim",AND(G25="Sim",H25&lt;&gt;"Sim")),"Bloquear produção: prova ou sinal pendente","Conferir OC e capacidade"),IF(E25="Expedido","Confirmar entrega","Revisar etapa")))</x:f>
      </x:c>
    </x:row>
    <x:row r="26">
      <x:c r="S26" t="str">
        <x:f>IF(A26="","",IF(OR(E26="Aceito",E26="Produção"),IF(OR(K26&lt;&gt;"Sim",AND(G26="Sim",H26&lt;&gt;"Sim")),"Bloquear produção: prova ou sinal pendente","Conferir OC e capacidade"),IF(E26="Expedido","Confirmar entrega","Revisar etapa")))</x:f>
      </x:c>
    </x:row>
    <x:row r="27">
      <x:c r="S27" t="str">
        <x:f>IF(A27="","",IF(OR(E27="Aceito",E27="Produção"),IF(OR(K27&lt;&gt;"Sim",AND(G27="Sim",H27&lt;&gt;"Sim")),"Bloquear produção: prova ou sinal pendente","Conferir OC e capacidade"),IF(E27="Expedido","Confirmar entrega","Revisar etapa")))</x:f>
      </x:c>
    </x:row>
    <x:row r="28">
      <x:c r="S28" t="str">
        <x:f>IF(A28="","",IF(OR(E28="Aceito",E28="Produção"),IF(OR(K28&lt;&gt;"Sim",AND(G28="Sim",H28&lt;&gt;"Sim")),"Bloquear produção: prova ou sinal pendente","Conferir OC e capacidade"),IF(E28="Expedido","Confirmar entrega","Revisar etapa")))</x:f>
      </x:c>
    </x:row>
    <x:row r="29">
      <x:c r="S29" t="str">
        <x:f>IF(A29="","",IF(OR(E29="Aceito",E29="Produção"),IF(OR(K29&lt;&gt;"Sim",AND(G29="Sim",H29&lt;&gt;"Sim")),"Bloquear produção: prova ou sinal pendente","Conferir OC e capacidade"),IF(E29="Expedido","Confirmar entrega","Revisar etapa")))</x:f>
      </x:c>
    </x:row>
    <x:row r="30">
      <x:c r="S30" t="str">
        <x:f>IF(A30="","",IF(OR(E30="Aceito",E30="Produção"),IF(OR(K30&lt;&gt;"Sim",AND(G30="Sim",H30&lt;&gt;"Sim")),"Bloquear produção: prova ou sinal pendente","Conferir OC e capacidade"),IF(E30="Expedido","Confirmar entrega","Revisar etapa")))</x:f>
      </x:c>
    </x:row>
    <x:row r="31">
      <x:c r="S31" t="str">
        <x:f>IF(A31="","",IF(OR(E31="Aceito",E31="Produção"),IF(OR(K31&lt;&gt;"Sim",AND(G31="Sim",H31&lt;&gt;"Sim")),"Bloquear produção: prova ou sinal pendente","Conferir OC e capacidade"),IF(E31="Expedido","Confirmar entrega","Revisar etapa")))</x:f>
      </x:c>
    </x:row>
    <x:row r="32">
      <x:c r="S32" t="str">
        <x:f>IF(A32="","",IF(OR(E32="Aceito",E32="Produção"),IF(OR(K32&lt;&gt;"Sim",AND(G32="Sim",H32&lt;&gt;"Sim")),"Bloquear produção: prova ou sinal pendente","Conferir OC e capacidade"),IF(E32="Expedido","Confirmar entrega","Revisar etapa")))</x:f>
      </x:c>
    </x:row>
    <x:row r="33">
      <x:c r="S33" t="str">
        <x:f>IF(A33="","",IF(OR(E33="Aceito",E33="Produção"),IF(OR(K33&lt;&gt;"Sim",AND(G33="Sim",H33&lt;&gt;"Sim")),"Bloquear produção: prova ou sinal pendente","Conferir OC e capacidade"),IF(E33="Expedido","Confirmar entrega","Revisar etapa")))</x:f>
      </x:c>
    </x:row>
    <x:row r="34">
      <x:c r="S34" t="str">
        <x:f>IF(A34="","",IF(OR(E34="Aceito",E34="Produção"),IF(OR(K34&lt;&gt;"Sim",AND(G34="Sim",H34&lt;&gt;"Sim")),"Bloquear produção: prova ou sinal pendente","Conferir OC e capacidade"),IF(E34="Expedido","Confirmar entrega","Revisar etapa")))</x:f>
      </x:c>
    </x:row>
    <x:row r="35">
      <x:c r="S35" t="str">
        <x:f>IF(A35="","",IF(OR(E35="Aceito",E35="Produção"),IF(OR(K35&lt;&gt;"Sim",AND(G35="Sim",H35&lt;&gt;"Sim")),"Bloquear produção: prova ou sinal pendente","Conferir OC e capacidade"),IF(E35="Expedido","Confirmar entrega","Revisar etapa")))</x:f>
      </x:c>
    </x:row>
    <x:row r="36">
      <x:c r="S36" t="str">
        <x:f>IF(A36="","",IF(OR(E36="Aceito",E36="Produção"),IF(OR(K36&lt;&gt;"Sim",AND(G36="Sim",H36&lt;&gt;"Sim")),"Bloquear produção: prova ou sinal pendente","Conferir OC e capacidade"),IF(E36="Expedido","Confirmar entrega","Revisar etapa")))</x:f>
      </x:c>
    </x:row>
    <x:row r="37">
      <x:c r="S37" t="str">
        <x:f>IF(A37="","",IF(OR(E37="Aceito",E37="Produção"),IF(OR(K37&lt;&gt;"Sim",AND(G37="Sim",H37&lt;&gt;"Sim")),"Bloquear produção: prova ou sinal pendente","Conferir OC e capacidade"),IF(E37="Expedido","Confirmar entrega","Revisar etapa")))</x:f>
      </x:c>
    </x:row>
    <x:row r="38">
      <x:c r="S38" t="str">
        <x:f>IF(A38="","",IF(OR(E38="Aceito",E38="Produção"),IF(OR(K38&lt;&gt;"Sim",AND(G38="Sim",H38&lt;&gt;"Sim")),"Bloquear produção: prova ou sinal pendente","Conferir OC e capacidade"),IF(E38="Expedido","Confirmar entrega","Revisar etapa")))</x:f>
      </x:c>
    </x:row>
    <x:row r="39">
      <x:c r="S39" t="str">
        <x:f>IF(A39="","",IF(OR(E39="Aceito",E39="Produção"),IF(OR(K39&lt;&gt;"Sim",AND(G39="Sim",H39&lt;&gt;"Sim")),"Bloquear produção: prova ou sinal pendente","Conferir OC e capacidade"),IF(E39="Expedido","Confirmar entrega","Revisar etapa")))</x:f>
      </x:c>
    </x:row>
    <x:row r="40">
      <x:c r="S40" t="str">
        <x:f>IF(A40="","",IF(OR(E40="Aceito",E40="Produção"),IF(OR(K40&lt;&gt;"Sim",AND(G40="Sim",H40&lt;&gt;"Sim")),"Bloquear produção: prova ou sinal pendente","Conferir OC e capacidade"),IF(E40="Expedido","Confirmar entrega","Revisar etapa")))</x:f>
      </x:c>
    </x:row>
    <x:row r="41">
      <x:c r="S41" t="str">
        <x:f>IF(A41="","",IF(OR(E41="Aceito",E41="Produção"),IF(OR(K41&lt;&gt;"Sim",AND(G41="Sim",H41&lt;&gt;"Sim")),"Bloquear produção: prova ou sinal pendente","Conferir OC e capacidade"),IF(E41="Expedido","Confirmar entrega","Revisar etapa")))</x:f>
      </x:c>
    </x:row>
    <x:row r="42">
      <x:c r="S42" t="str">
        <x:f>IF(A42="","",IF(OR(E42="Aceito",E42="Produção"),IF(OR(K42&lt;&gt;"Sim",AND(G42="Sim",H42&lt;&gt;"Sim")),"Bloquear produção: prova ou sinal pendente","Conferir OC e capacidade"),IF(E42="Expedido","Confirmar entrega","Revisar etapa")))</x:f>
      </x:c>
    </x:row>
    <x:row r="43">
      <x:c r="S43" t="str">
        <x:f>IF(A43="","",IF(OR(E43="Aceito",E43="Produção"),IF(OR(K43&lt;&gt;"Sim",AND(G43="Sim",H43&lt;&gt;"Sim")),"Bloquear produção: prova ou sinal pendente","Conferir OC e capacidade"),IF(E43="Expedido","Confirmar entrega","Revisar etapa")))</x:f>
      </x:c>
    </x:row>
    <x:row r="44">
      <x:c r="S44" t="str">
        <x:f>IF(A44="","",IF(OR(E44="Aceito",E44="Produção"),IF(OR(K44&lt;&gt;"Sim",AND(G44="Sim",H44&lt;&gt;"Sim")),"Bloquear produção: prova ou sinal pendente","Conferir OC e capacidade"),IF(E44="Expedido","Confirmar entrega","Revisar etapa")))</x:f>
      </x:c>
    </x:row>
    <x:row r="45">
      <x:c r="S45" t="str">
        <x:f>IF(A45="","",IF(OR(E45="Aceito",E45="Produção"),IF(OR(K45&lt;&gt;"Sim",AND(G45="Sim",H45&lt;&gt;"Sim")),"Bloquear produção: prova ou sinal pendente","Conferir OC e capacidade"),IF(E45="Expedido","Confirmar entrega","Revisar etapa")))</x:f>
      </x:c>
    </x:row>
    <x:row r="46">
      <x:c r="S46" t="str">
        <x:f>IF(A46="","",IF(OR(E46="Aceito",E46="Produção"),IF(OR(K46&lt;&gt;"Sim",AND(G46="Sim",H46&lt;&gt;"Sim")),"Bloquear produção: prova ou sinal pendente","Conferir OC e capacidade"),IF(E46="Expedido","Confirmar entrega","Revisar etapa")))</x:f>
      </x:c>
    </x:row>
    <x:row r="47">
      <x:c r="S47" t="str">
        <x:f>IF(A47="","",IF(OR(E47="Aceito",E47="Produção"),IF(OR(K47&lt;&gt;"Sim",AND(G47="Sim",H47&lt;&gt;"Sim")),"Bloquear produção: prova ou sinal pendente","Conferir OC e capacidade"),IF(E47="Expedido","Confirmar entrega","Revisar etapa")))</x:f>
      </x:c>
    </x:row>
    <x:row r="48">
      <x:c r="S48" t="str">
        <x:f>IF(A48="","",IF(OR(E48="Aceito",E48="Produção"),IF(OR(K48&lt;&gt;"Sim",AND(G48="Sim",H48&lt;&gt;"Sim")),"Bloquear produção: prova ou sinal pendente","Conferir OC e capacidade"),IF(E48="Expedido","Confirmar entrega","Revisar etapa")))</x:f>
      </x:c>
    </x:row>
    <x:row r="49">
      <x:c r="S49" t="str">
        <x:f>IF(A49="","",IF(OR(E49="Aceito",E49="Produção"),IF(OR(K49&lt;&gt;"Sim",AND(G49="Sim",H49&lt;&gt;"Sim")),"Bloquear produção: prova ou sinal pendente","Conferir OC e capacidade"),IF(E49="Expedido","Confirmar entrega","Revisar etapa")))</x:f>
      </x:c>
    </x:row>
    <x:row r="50">
      <x:c r="S50" t="str">
        <x:f>IF(A50="","",IF(OR(E50="Aceito",E50="Produção"),IF(OR(K50&lt;&gt;"Sim",AND(G50="Sim",H50&lt;&gt;"Sim")),"Bloquear produção: prova ou sinal pendente","Conferir OC e capacidade"),IF(E50="Expedido","Confirmar entrega","Revisar etapa")))</x:f>
      </x:c>
    </x:row>
    <x:row r="51">
      <x:c r="S51" t="str">
        <x:f>IF(A51="","",IF(OR(E51="Aceito",E51="Produção"),IF(OR(K51&lt;&gt;"Sim",AND(G51="Sim",H51&lt;&gt;"Sim")),"Bloquear produção: prova ou sinal pendente","Conferir OC e capacidade"),IF(E51="Expedido","Confirmar entrega","Revisar etapa")))</x:f>
      </x:c>
    </x:row>
    <x:row r="52">
      <x:c r="S52" t="str">
        <x:f>IF(A52="","",IF(OR(E52="Aceito",E52="Produção"),IF(OR(K52&lt;&gt;"Sim",AND(G52="Sim",H52&lt;&gt;"Sim")),"Bloquear produção: prova ou sinal pendente","Conferir OC e capacidade"),IF(E52="Expedido","Confirmar entrega","Revisar etapa")))</x:f>
      </x:c>
    </x:row>
    <x:row r="53">
      <x:c r="S53" t="str">
        <x:f>IF(A53="","",IF(OR(E53="Aceito",E53="Produção"),IF(OR(K53&lt;&gt;"Sim",AND(G53="Sim",H53&lt;&gt;"Sim")),"Bloquear produção: prova ou sinal pendente","Conferir OC e capacidade"),IF(E53="Expedido","Confirmar entrega","Revisar etapa")))</x:f>
      </x:c>
    </x:row>
    <x:row r="54">
      <x:c r="S54" t="str">
        <x:f>IF(A54="","",IF(OR(E54="Aceito",E54="Produção"),IF(OR(K54&lt;&gt;"Sim",AND(G54="Sim",H54&lt;&gt;"Sim")),"Bloquear produção: prova ou sinal pendente","Conferir OC e capacidade"),IF(E54="Expedido","Confirmar entrega","Revisar etapa")))</x:f>
      </x:c>
    </x:row>
    <x:row r="55">
      <x:c r="S55" t="str">
        <x:f>IF(A55="","",IF(OR(E55="Aceito",E55="Produção"),IF(OR(K55&lt;&gt;"Sim",AND(G55="Sim",H55&lt;&gt;"Sim")),"Bloquear produção: prova ou sinal pendente","Conferir OC e capacidade"),IF(E55="Expedido","Confirmar entrega","Revisar etapa")))</x:f>
      </x:c>
    </x:row>
    <x:row r="56">
      <x:c r="S56" t="str">
        <x:f>IF(A56="","",IF(OR(E56="Aceito",E56="Produção"),IF(OR(K56&lt;&gt;"Sim",AND(G56="Sim",H56&lt;&gt;"Sim")),"Bloquear produção: prova ou sinal pendente","Conferir OC e capacidade"),IF(E56="Expedido","Confirmar entrega","Revisar etapa")))</x:f>
      </x:c>
    </x:row>
    <x:row r="57">
      <x:c r="S57" t="str">
        <x:f>IF(A57="","",IF(OR(E57="Aceito",E57="Produção"),IF(OR(K57&lt;&gt;"Sim",AND(G57="Sim",H57&lt;&gt;"Sim")),"Bloquear produção: prova ou sinal pendente","Conferir OC e capacidade"),IF(E57="Expedido","Confirmar entrega","Revisar etapa")))</x:f>
      </x:c>
    </x:row>
    <x:row r="58">
      <x:c r="S58" t="str">
        <x:f>IF(A58="","",IF(OR(E58="Aceito",E58="Produção"),IF(OR(K58&lt;&gt;"Sim",AND(G58="Sim",H58&lt;&gt;"Sim")),"Bloquear produção: prova ou sinal pendente","Conferir OC e capacidade"),IF(E58="Expedido","Confirmar entrega","Revisar etapa")))</x:f>
      </x:c>
    </x:row>
    <x:row r="59">
      <x:c r="S59" t="str">
        <x:f>IF(A59="","",IF(OR(E59="Aceito",E59="Produção"),IF(OR(K59&lt;&gt;"Sim",AND(G59="Sim",H59&lt;&gt;"Sim")),"Bloquear produção: prova ou sinal pendente","Conferir OC e capacidade"),IF(E59="Expedido","Confirmar entrega","Revisar etapa")))</x:f>
      </x:c>
    </x:row>
    <x:row r="60">
      <x:c r="S60" t="str">
        <x:f>IF(A60="","",IF(OR(E60="Aceito",E60="Produção"),IF(OR(K60&lt;&gt;"Sim",AND(G60="Sim",H60&lt;&gt;"Sim")),"Bloquear produção: prova ou sinal pendente","Conferir OC e capacidade"),IF(E60="Expedido","Confirmar entrega","Revisar etapa")))</x:f>
      </x:c>
    </x:row>
    <x:row r="61">
      <x:c r="S61" t="str">
        <x:f>IF(A61="","",IF(OR(E61="Aceito",E61="Produção"),IF(OR(K61&lt;&gt;"Sim",AND(G61="Sim",H61&lt;&gt;"Sim")),"Bloquear produção: prova ou sinal pendente","Conferir OC e capacidade"),IF(E61="Expedido","Confirmar entrega","Revisar etapa")))</x:f>
      </x:c>
    </x:row>
    <x:row r="62">
      <x:c r="S62" t="str">
        <x:f>IF(A62="","",IF(OR(E62="Aceito",E62="Produção"),IF(OR(K62&lt;&gt;"Sim",AND(G62="Sim",H62&lt;&gt;"Sim")),"Bloquear produção: prova ou sinal pendente","Conferir OC e capacidade"),IF(E62="Expedido","Confirmar entrega","Revisar etapa")))</x:f>
      </x:c>
    </x:row>
    <x:row r="63">
      <x:c r="S63" t="str">
        <x:f>IF(A63="","",IF(OR(E63="Aceito",E63="Produção"),IF(OR(K63&lt;&gt;"Sim",AND(G63="Sim",H63&lt;&gt;"Sim")),"Bloquear produção: prova ou sinal pendente","Conferir OC e capacidade"),IF(E63="Expedido","Confirmar entrega","Revisar etapa")))</x:f>
      </x:c>
    </x:row>
    <x:row r="64">
      <x:c r="S64" t="str">
        <x:f>IF(A64="","",IF(OR(E64="Aceito",E64="Produção"),IF(OR(K64&lt;&gt;"Sim",AND(G64="Sim",H64&lt;&gt;"Sim")),"Bloquear produção: prova ou sinal pendente","Conferir OC e capacidade"),IF(E64="Expedido","Confirmar entrega","Revisar etapa")))</x:f>
      </x:c>
    </x:row>
    <x:row r="65">
      <x:c r="S65" t="str">
        <x:f>IF(A65="","",IF(OR(E65="Aceito",E65="Produção"),IF(OR(K65&lt;&gt;"Sim",AND(G65="Sim",H65&lt;&gt;"Sim")),"Bloquear produção: prova ou sinal pendente","Conferir OC e capacidade"),IF(E65="Expedido","Confirmar entrega","Revisar etapa")))</x:f>
      </x:c>
    </x:row>
    <x:row r="66">
      <x:c r="S66" t="str">
        <x:f>IF(A66="","",IF(OR(E66="Aceito",E66="Produção"),IF(OR(K66&lt;&gt;"Sim",AND(G66="Sim",H66&lt;&gt;"Sim")),"Bloquear produção: prova ou sinal pendente","Conferir OC e capacidade"),IF(E66="Expedido","Confirmar entrega","Revisar etapa")))</x:f>
      </x:c>
    </x:row>
    <x:row r="67">
      <x:c r="S67" t="str">
        <x:f>IF(A67="","",IF(OR(E67="Aceito",E67="Produção"),IF(OR(K67&lt;&gt;"Sim",AND(G67="Sim",H67&lt;&gt;"Sim")),"Bloquear produção: prova ou sinal pendente","Conferir OC e capacidade"),IF(E67="Expedido","Confirmar entrega","Revisar etapa")))</x:f>
      </x:c>
    </x:row>
    <x:row r="68">
      <x:c r="S68" t="str">
        <x:f>IF(A68="","",IF(OR(E68="Aceito",E68="Produção"),IF(OR(K68&lt;&gt;"Sim",AND(G68="Sim",H68&lt;&gt;"Sim")),"Bloquear produção: prova ou sinal pendente","Conferir OC e capacidade"),IF(E68="Expedido","Confirmar entrega","Revisar etapa")))</x:f>
      </x:c>
    </x:row>
    <x:row r="69">
      <x:c r="S69" t="str">
        <x:f>IF(A69="","",IF(OR(E69="Aceito",E69="Produção"),IF(OR(K69&lt;&gt;"Sim",AND(G69="Sim",H69&lt;&gt;"Sim")),"Bloquear produção: prova ou sinal pendente","Conferir OC e capacidade"),IF(E69="Expedido","Confirmar entrega","Revisar etapa")))</x:f>
      </x:c>
    </x:row>
    <x:row r="70">
      <x:c r="S70" t="str">
        <x:f>IF(A70="","",IF(OR(E70="Aceito",E70="Produção"),IF(OR(K70&lt;&gt;"Sim",AND(G70="Sim",H70&lt;&gt;"Sim")),"Bloquear produção: prova ou sinal pendente","Conferir OC e capacidade"),IF(E70="Expedido","Confirmar entrega","Revisar etapa")))</x:f>
      </x:c>
    </x:row>
    <x:row r="71">
      <x:c r="S71" t="str">
        <x:f>IF(A71="","",IF(OR(E71="Aceito",E71="Produção"),IF(OR(K71&lt;&gt;"Sim",AND(G71="Sim",H71&lt;&gt;"Sim")),"Bloquear produção: prova ou sinal pendente","Conferir OC e capacidade"),IF(E71="Expedido","Confirmar entrega","Revisar etapa")))</x:f>
      </x:c>
    </x:row>
    <x:row r="72">
      <x:c r="S72" t="str">
        <x:f>IF(A72="","",IF(OR(E72="Aceito",E72="Produção"),IF(OR(K72&lt;&gt;"Sim",AND(G72="Sim",H72&lt;&gt;"Sim")),"Bloquear produção: prova ou sinal pendente","Conferir OC e capacidade"),IF(E72="Expedido","Confirmar entrega","Revisar etapa")))</x:f>
      </x:c>
    </x:row>
    <x:row r="73">
      <x:c r="S73" t="str">
        <x:f>IF(A73="","",IF(OR(E73="Aceito",E73="Produção"),IF(OR(K73&lt;&gt;"Sim",AND(G73="Sim",H73&lt;&gt;"Sim")),"Bloquear produção: prova ou sinal pendente","Conferir OC e capacidade"),IF(E73="Expedido","Confirmar entrega","Revisar etapa")))</x:f>
      </x:c>
    </x:row>
    <x:row r="74">
      <x:c r="S74" t="str">
        <x:f>IF(A74="","",IF(OR(E74="Aceito",E74="Produção"),IF(OR(K74&lt;&gt;"Sim",AND(G74="Sim",H74&lt;&gt;"Sim")),"Bloquear produção: prova ou sinal pendente","Conferir OC e capacidade"),IF(E74="Expedido","Confirmar entrega","Revisar etapa")))</x:f>
      </x:c>
    </x:row>
    <x:row r="75">
      <x:c r="S75" t="str">
        <x:f>IF(A75="","",IF(OR(E75="Aceito",E75="Produção"),IF(OR(K75&lt;&gt;"Sim",AND(G75="Sim",H75&lt;&gt;"Sim")),"Bloquear produção: prova ou sinal pendente","Conferir OC e capacidade"),IF(E75="Expedido","Confirmar entrega","Revisar etapa")))</x:f>
      </x:c>
    </x:row>
    <x:row r="76">
      <x:c r="S76" t="str">
        <x:f>IF(A76="","",IF(OR(E76="Aceito",E76="Produção"),IF(OR(K76&lt;&gt;"Sim",AND(G76="Sim",H76&lt;&gt;"Sim")),"Bloquear produção: prova ou sinal pendente","Conferir OC e capacidade"),IF(E76="Expedido","Confirmar entrega","Revisar etapa")))</x:f>
      </x:c>
    </x:row>
    <x:row r="77">
      <x:c r="S77" t="str">
        <x:f>IF(A77="","",IF(OR(E77="Aceito",E77="Produção"),IF(OR(K77&lt;&gt;"Sim",AND(G77="Sim",H77&lt;&gt;"Sim")),"Bloquear produção: prova ou sinal pendente","Conferir OC e capacidade"),IF(E77="Expedido","Confirmar entrega","Revisar etapa")))</x:f>
      </x:c>
    </x:row>
    <x:row r="78">
      <x:c r="S78" t="str">
        <x:f>IF(A78="","",IF(OR(E78="Aceito",E78="Produção"),IF(OR(K78&lt;&gt;"Sim",AND(G78="Sim",H78&lt;&gt;"Sim")),"Bloquear produção: prova ou sinal pendente","Conferir OC e capacidade"),IF(E78="Expedido","Confirmar entrega","Revisar etapa")))</x:f>
      </x:c>
    </x:row>
    <x:row r="79">
      <x:c r="S79" t="str">
        <x:f>IF(A79="","",IF(OR(E79="Aceito",E79="Produção"),IF(OR(K79&lt;&gt;"Sim",AND(G79="Sim",H79&lt;&gt;"Sim")),"Bloquear produção: prova ou sinal pendente","Conferir OC e capacidade"),IF(E79="Expedido","Confirmar entrega","Revisar etapa")))</x:f>
      </x:c>
    </x:row>
    <x:row r="80">
      <x:c r="S80" t="str">
        <x:f>IF(A80="","",IF(OR(E80="Aceito",E80="Produção"),IF(OR(K80&lt;&gt;"Sim",AND(G80="Sim",H80&lt;&gt;"Sim")),"Bloquear produção: prova ou sinal pendente","Conferir OC e capacidade"),IF(E80="Expedido","Confirmar entrega","Revisar etapa")))</x:f>
      </x:c>
    </x:row>
    <x:row r="81">
      <x:c r="S81" t="str">
        <x:f>IF(A81="","",IF(OR(E81="Aceito",E81="Produção"),IF(OR(K81&lt;&gt;"Sim",AND(G81="Sim",H81&lt;&gt;"Sim")),"Bloquear produção: prova ou sinal pendente","Conferir OC e capacidade"),IF(E81="Expedido","Confirmar entrega","Revisar etapa")))</x:f>
      </x:c>
    </x:row>
    <x:row r="82">
      <x:c r="S82" t="str">
        <x:f>IF(A82="","",IF(OR(E82="Aceito",E82="Produção"),IF(OR(K82&lt;&gt;"Sim",AND(G82="Sim",H82&lt;&gt;"Sim")),"Bloquear produção: prova ou sinal pendente","Conferir OC e capacidade"),IF(E82="Expedido","Confirmar entrega","Revisar etapa")))</x:f>
      </x:c>
    </x:row>
    <x:row r="83">
      <x:c r="S83" t="str">
        <x:f>IF(A83="","",IF(OR(E83="Aceito",E83="Produção"),IF(OR(K83&lt;&gt;"Sim",AND(G83="Sim",H83&lt;&gt;"Sim")),"Bloquear produção: prova ou sinal pendente","Conferir OC e capacidade"),IF(E83="Expedido","Confirmar entrega","Revisar etapa")))</x:f>
      </x:c>
    </x:row>
    <x:row r="84">
      <x:c r="S84" t="str">
        <x:f>IF(A84="","",IF(OR(E84="Aceito",E84="Produção"),IF(OR(K84&lt;&gt;"Sim",AND(G84="Sim",H84&lt;&gt;"Sim")),"Bloquear produção: prova ou sinal pendente","Conferir OC e capacidade"),IF(E84="Expedido","Confirmar entrega","Revisar etapa")))</x:f>
      </x:c>
    </x:row>
    <x:row r="85">
      <x:c r="S85" t="str">
        <x:f>IF(A85="","",IF(OR(E85="Aceito",E85="Produção"),IF(OR(K85&lt;&gt;"Sim",AND(G85="Sim",H85&lt;&gt;"Sim")),"Bloquear produção: prova ou sinal pendente","Conferir OC e capacidade"),IF(E85="Expedido","Confirmar entrega","Revisar etapa")))</x:f>
      </x:c>
    </x:row>
    <x:row r="86">
      <x:c r="S86" t="str">
        <x:f>IF(A86="","",IF(OR(E86="Aceito",E86="Produção"),IF(OR(K86&lt;&gt;"Sim",AND(G86="Sim",H86&lt;&gt;"Sim")),"Bloquear produção: prova ou sinal pendente","Conferir OC e capacidade"),IF(E86="Expedido","Confirmar entrega","Revisar etapa")))</x:f>
      </x:c>
    </x:row>
    <x:row r="87">
      <x:c r="S87" t="str">
        <x:f>IF(A87="","",IF(OR(E87="Aceito",E87="Produção"),IF(OR(K87&lt;&gt;"Sim",AND(G87="Sim",H87&lt;&gt;"Sim")),"Bloquear produção: prova ou sinal pendente","Conferir OC e capacidade"),IF(E87="Expedido","Confirmar entrega","Revisar etapa")))</x:f>
      </x:c>
    </x:row>
    <x:row r="88">
      <x:c r="S88" t="str">
        <x:f>IF(A88="","",IF(OR(E88="Aceito",E88="Produção"),IF(OR(K88&lt;&gt;"Sim",AND(G88="Sim",H88&lt;&gt;"Sim")),"Bloquear produção: prova ou sinal pendente","Conferir OC e capacidade"),IF(E88="Expedido","Confirmar entrega","Revisar etapa")))</x:f>
      </x:c>
    </x:row>
    <x:row r="89">
      <x:c r="S89" t="str">
        <x:f>IF(A89="","",IF(OR(E89="Aceito",E89="Produção"),IF(OR(K89&lt;&gt;"Sim",AND(G89="Sim",H89&lt;&gt;"Sim")),"Bloquear produção: prova ou sinal pendente","Conferir OC e capacidade"),IF(E89="Expedido","Confirmar entrega","Revisar etapa")))</x:f>
      </x:c>
    </x:row>
    <x:row r="90">
      <x:c r="S90" t="str">
        <x:f>IF(A90="","",IF(OR(E90="Aceito",E90="Produção"),IF(OR(K90&lt;&gt;"Sim",AND(G90="Sim",H90&lt;&gt;"Sim")),"Bloquear produção: prova ou sinal pendente","Conferir OC e capacidade"),IF(E90="Expedido","Confirmar entrega","Revisar etapa")))</x:f>
      </x:c>
    </x:row>
    <x:row r="91">
      <x:c r="S91" t="str">
        <x:f>IF(A91="","",IF(OR(E91="Aceito",E91="Produção"),IF(OR(K91&lt;&gt;"Sim",AND(G91="Sim",H91&lt;&gt;"Sim")),"Bloquear produção: prova ou sinal pendente","Conferir OC e capacidade"),IF(E91="Expedido","Confirmar entrega","Revisar etapa")))</x:f>
      </x:c>
    </x:row>
    <x:row r="92">
      <x:c r="S92" t="str">
        <x:f>IF(A92="","",IF(OR(E92="Aceito",E92="Produção"),IF(OR(K92&lt;&gt;"Sim",AND(G92="Sim",H92&lt;&gt;"Sim")),"Bloquear produção: prova ou sinal pendente","Conferir OC e capacidade"),IF(E92="Expedido","Confirmar entrega","Revisar etapa")))</x:f>
      </x:c>
    </x:row>
    <x:row r="93">
      <x:c r="S93" t="str">
        <x:f>IF(A93="","",IF(OR(E93="Aceito",E93="Produção"),IF(OR(K93&lt;&gt;"Sim",AND(G93="Sim",H93&lt;&gt;"Sim")),"Bloquear produção: prova ou sinal pendente","Conferir OC e capacidade"),IF(E93="Expedido","Confirmar entrega","Revisar etapa")))</x:f>
      </x:c>
    </x:row>
    <x:row r="94">
      <x:c r="S94" t="str">
        <x:f>IF(A94="","",IF(OR(E94="Aceito",E94="Produção"),IF(OR(K94&lt;&gt;"Sim",AND(G94="Sim",H94&lt;&gt;"Sim")),"Bloquear produção: prova ou sinal pendente","Conferir OC e capacidade"),IF(E94="Expedido","Confirmar entrega","Revisar etapa")))</x:f>
      </x:c>
    </x:row>
    <x:row r="95">
      <x:c r="S95" t="str">
        <x:f>IF(A95="","",IF(OR(E95="Aceito",E95="Produção"),IF(OR(K95&lt;&gt;"Sim",AND(G95="Sim",H95&lt;&gt;"Sim")),"Bloquear produção: prova ou sinal pendente","Conferir OC e capacidade"),IF(E95="Expedido","Confirmar entrega","Revisar etapa")))</x:f>
      </x:c>
    </x:row>
    <x:row r="96">
      <x:c r="S96" t="str">
        <x:f>IF(A96="","",IF(OR(E96="Aceito",E96="Produção"),IF(OR(K96&lt;&gt;"Sim",AND(G96="Sim",H96&lt;&gt;"Sim")),"Bloquear produção: prova ou sinal pendente","Conferir OC e capacidade"),IF(E96="Expedido","Confirmar entrega","Revisar etapa")))</x:f>
      </x:c>
    </x:row>
    <x:row r="97">
      <x:c r="S97" t="str">
        <x:f>IF(A97="","",IF(OR(E97="Aceito",E97="Produção"),IF(OR(K97&lt;&gt;"Sim",AND(G97="Sim",H97&lt;&gt;"Sim")),"Bloquear produção: prova ou sinal pendente","Conferir OC e capacidade"),IF(E97="Expedido","Confirmar entrega","Revisar etapa")))</x:f>
      </x:c>
    </x:row>
    <x:row r="98">
      <x:c r="S98" t="str">
        <x:f>IF(A98="","",IF(OR(E98="Aceito",E98="Produção"),IF(OR(K98&lt;&gt;"Sim",AND(G98="Sim",H98&lt;&gt;"Sim")),"Bloquear produção: prova ou sinal pendente","Conferir OC e capacidade"),IF(E98="Expedido","Confirmar entrega","Revisar etapa")))</x:f>
      </x:c>
    </x:row>
    <x:row r="99">
      <x:c r="S99" t="str">
        <x:f>IF(A99="","",IF(OR(E99="Aceito",E99="Produção"),IF(OR(K99&lt;&gt;"Sim",AND(G99="Sim",H99&lt;&gt;"Sim")),"Bloquear produção: prova ou sinal pendente","Conferir OC e capacidade"),IF(E99="Expedido","Confirmar entrega","Revisar etapa")))</x:f>
      </x:c>
    </x:row>
    <x:row r="100">
      <x:c r="S100" t="str">
        <x:f>IF(A100="","",IF(OR(E100="Aceito",E100="Produção"),IF(OR(K100&lt;&gt;"Sim",AND(G100="Sim",H100&lt;&gt;"Sim")),"Bloquear produção: prova ou sinal pendente","Conferir OC e capacidade"),IF(E100="Expedido","Confirmar entrega","Revisar etapa")))</x:f>
      </x:c>
    </x:row>
    <x:row r="101">
      <x:c r="S101" t="str">
        <x:f>IF(A101="","",IF(OR(E101="Aceito",E101="Produção"),IF(OR(K101&lt;&gt;"Sim",AND(G101="Sim",H101&lt;&gt;"Sim")),"Bloquear produção: prova ou sinal pendente","Conferir OC e capacidade"),IF(E101="Expedido","Confirmar entrega","Revisar etapa")))</x:f>
      </x:c>
    </x:row>
    <x:row r="102">
      <x:c r="S102" t="str">
        <x:f>IF(A102="","",IF(OR(E102="Aceito",E102="Produção"),IF(OR(K102&lt;&gt;"Sim",AND(G102="Sim",H102&lt;&gt;"Sim")),"Bloquear produção: prova ou sinal pendente","Conferir OC e capacidade"),IF(E102="Expedido","Confirmar entrega","Revisar etapa")))</x:f>
      </x:c>
    </x:row>
    <x:row r="103">
      <x:c r="S103" t="str">
        <x:f>IF(A103="","",IF(OR(E103="Aceito",E103="Produção"),IF(OR(K103&lt;&gt;"Sim",AND(G103="Sim",H103&lt;&gt;"Sim")),"Bloquear produção: prova ou sinal pendente","Conferir OC e capacidade"),IF(E103="Expedido","Confirmar entrega","Revisar etapa")))</x:f>
      </x:c>
    </x:row>
  </x:sheetData>
  <x:dataValidations count="2">
    <x:dataValidation type="list" sqref="E4:E103">
      <x:formula1>"Briefing,Cotação,Proposta,Aceito,Produção,Inspeção,Expedido,Entregue,Cancelado"</x:formula1>
    </x:dataValidation>
    <x:dataValidation type="list" sqref="K4:K103">
      <x:formula1>"Sim,Não"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21" hidden="0" customWidth="1"/>
    <x:col min="4" max="4" width="19" hidden="0" customWidth="1"/>
    <x:col min="5" max="5" width="22" hidden="0" customWidth="1"/>
    <x:col min="6" max="6" width="17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23" hidden="0" customWidth="1"/>
    <x:col min="12" max="12" width="19" hidden="0" customWidth="1"/>
    <x:col min="13" max="13" width="24" hidden="0" customWidth="1"/>
    <x:col min="14" max="14" width="35" hidden="0" customWidth="1"/>
  </x:cols>
  <x:sheetData>
    <x:row r="1">
      <x:c r="A1" s="1" t="str">
        <x:v>MARCATTA | Fornecedores</x:v>
      </x:c>
    </x:row>
    <x:row r="3" ht="32" customHeight="1">
      <x:c r="A3" s="5" t="str">
        <x:v>ID</x:v>
      </x:c>
      <x:c r="B3" s="5" t="str">
        <x:v>Empresa</x:v>
      </x:c>
      <x:c r="C3" s="5" t="str">
        <x:v>Categoria</x:v>
      </x:c>
      <x:c r="D3" s="5" t="str">
        <x:v>Técnica</x:v>
      </x:c>
      <x:c r="E3" s="5" t="str">
        <x:v>Contato</x:v>
      </x:c>
      <x:c r="F3" s="5" t="str">
        <x:v>Cotação data</x:v>
      </x:c>
      <x:c r="G3" s="5" t="str">
        <x:v>Amostra recebida</x:v>
      </x:c>
      <x:c r="H3" s="5" t="str">
        <x:v>Qualidade avaliada</x:v>
      </x:c>
      <x:c r="I3" s="5" t="str">
        <x:v>Alternativa para</x:v>
      </x:c>
      <x:c r="J3" s="5" t="str">
        <x:v>Status</x:v>
      </x:c>
      <x:c r="K3" s="5" t="str">
        <x:v>Capacidade confirmada</x:v>
      </x:c>
      <x:c r="L3" s="5" t="str">
        <x:v>Prazo cotado</x:v>
      </x:c>
      <x:c r="M3" s="5" t="str">
        <x:v>Condição de pagamento</x:v>
      </x:c>
      <x:c r="N3" s="5" t="str">
        <x:v>Falhas / observação</x:v>
      </x:c>
    </x:row>
  </x:sheetData>
  <x:dataValidations count="1">
    <x:dataValidation type="list" sqref="J4:J103">
      <x:formula1>"Identificado,Cotado,Amostrado,Homologado,Suspenso"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9" hidden="0" customWidth="1"/>
    <x:col min="4" max="4" width="16" hidden="0" customWidth="1"/>
    <x:col min="5" max="5" width="18" hidden="0" customWidth="1"/>
    <x:col min="6" max="6" width="24" hidden="0" customWidth="1"/>
    <x:col min="7" max="7" width="33" hidden="0" customWidth="1"/>
    <x:col min="8" max="8" width="31" hidden="0" customWidth="1"/>
    <x:col min="9" max="9" width="17" hidden="0" customWidth="1"/>
    <x:col min="10" max="10" width="19" hidden="0" customWidth="1"/>
    <x:col min="11" max="11" width="21" hidden="0" customWidth="1"/>
    <x:col min="12" max="12" width="22" hidden="0" customWidth="1"/>
  </x:cols>
  <x:sheetData>
    <x:row r="1">
      <x:c r="A1" s="1" t="str">
        <x:v>MARCATTA | Qualidade</x:v>
      </x:c>
    </x:row>
    <x:row r="3" ht="32" customHeight="1">
      <x:c r="A3" s="5" t="str">
        <x:v>Registro</x:v>
      </x:c>
      <x:c r="B3" s="5" t="str">
        <x:v>Pedido ID</x:v>
      </x:c>
      <x:c r="C3" s="5" t="str">
        <x:v>Fornecedor ID</x:v>
      </x:c>
      <x:c r="D3" s="5" t="str">
        <x:v>Data</x:v>
      </x:c>
      <x:c r="E3" s="5" t="str">
        <x:v>Etapa</x:v>
      </x:c>
      <x:c r="F3" s="5" t="str">
        <x:v>Item / lote</x:v>
      </x:c>
      <x:c r="G3" s="5" t="str">
        <x:v>Ocorrência</x:v>
      </x:c>
      <x:c r="H3" s="5" t="str">
        <x:v>Ação e responsável</x:v>
      </x:c>
      <x:c r="I3" s="5" t="str">
        <x:v>Status</x:v>
      </x:c>
      <x:c r="J3" s="5" t="str">
        <x:v>Custo adicional</x:v>
      </x:c>
      <x:c r="K3" s="5" t="str">
        <x:v>Aceite cliente</x:v>
      </x:c>
      <x:c r="L3" s="5" t="str">
        <x:v>Conclusão</x:v>
      </x:c>
    </x:row>
  </x:sheetData>
  <x:dataValidations count="1">
    <x:dataValidation type="list" sqref="I4:I103">
      <x:formula1>"Aberta,Em correção,Encerrada"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36" hidden="0" customWidth="1"/>
    <x:col min="3" max="3" width="48" hidden="0" customWidth="1"/>
    <x:col min="4" max="4" width="24" hidden="0" customWidth="1"/>
    <x:col min="5" max="5" width="20" hidden="0" customWidth="1"/>
    <x:col min="6" max="6" width="20" hidden="0" customWidth="1"/>
    <x:col min="7" max="7" width="23" hidden="0" customWidth="1"/>
    <x:col min="8" max="8" width="28" hidden="0" customWidth="1"/>
  </x:cols>
  <x:sheetData>
    <x:row r="1">
      <x:c r="A1" s="1" t="str">
        <x:v>MARCATTA | Implantação</x:v>
      </x:c>
    </x:row>
    <x:row r="3" ht="32" customHeight="1">
      <x:c r="A3" s="5" t="str">
        <x:v>Frente</x:v>
      </x:c>
      <x:c r="B3" s="5" t="str">
        <x:v>Decisão / entrega</x:v>
      </x:c>
      <x:c r="C3" s="5" t="str">
        <x:v>Evidência exigida</x:v>
      </x:c>
      <x:c r="D3" s="5" t="str">
        <x:v>Responsável funcional</x:v>
      </x:c>
      <x:c r="E3" s="5" t="str">
        <x:v>Prazo definido</x:v>
      </x:c>
      <x:c r="F3" s="5" t="str">
        <x:v>Status</x:v>
      </x:c>
      <x:c r="G3" s="5" t="str">
        <x:v>Investimento estimado</x:v>
      </x:c>
      <x:c r="H3" s="5" t="str">
        <x:v>Decisão da direção</x:v>
      </x:c>
    </x:row>
    <x:row r="4">
      <x:c r="A4" t="str">
        <x:v>Empresa</x:v>
      </x:c>
      <x:c r="B4" t="str">
        <x:v>CNPJ, CNAEs e regime</x:v>
      </x:c>
      <x:c r="C4" t="str">
        <x:v>Validação por contador e atos registrados</x:v>
      </x:c>
      <x:c r="D4" t="str">
        <x:v>Direção / contabilidade</x:v>
      </x:c>
      <x:c r="E4"/>
      <x:c r="F4" t="str">
        <x:v>Pendente</x:v>
      </x:c>
      <x:c r="G4"/>
      <x:c r="H4"/>
    </x:row>
    <x:row r="5">
      <x:c r="A5" t="str">
        <x:v>Produto</x:v>
      </x:c>
      <x:c r="B5" t="str">
        <x:v>Homologar variantes iniciais</x:v>
      </x:c>
      <x:c r="C5" t="str">
        <x:v>Amostra, ficha, cotação e alternativa</x:v>
      </x:c>
      <x:c r="D5" t="str">
        <x:v>Produto / suprimentos</x:v>
      </x:c>
      <x:c r="E5"/>
      <x:c r="F5" t="str">
        <x:v>Pendente</x:v>
      </x:c>
      <x:c r="G5"/>
      <x:c r="H5"/>
    </x:row>
    <x:row r="6">
      <x:c r="A6" t="str">
        <x:v>Sublimação</x:v>
      </x:c>
      <x:c r="B6" t="str">
        <x:v>Homologar terceiros</x:v>
      </x:c>
      <x:c r="C6" t="str">
        <x:v>Amostras em substratos, perfil de cor e capacidade</x:v>
      </x:c>
      <x:c r="D6" t="str">
        <x:v>Suprimentos / qualidade</x:v>
      </x:c>
      <x:c r="E6"/>
      <x:c r="F6" t="str">
        <x:v>Pendente</x:v>
      </x:c>
      <x:c r="G6"/>
      <x:c r="H6"/>
    </x:row>
    <x:row r="7">
      <x:c r="A7" t="str">
        <x:v>Comercial</x:v>
      </x:c>
      <x:c r="B7" t="str">
        <x:v>Primeiros pedidos piloto</x:v>
      </x:c>
      <x:c r="C7" t="str">
        <x:v>Aceites, contribuição, prazo e qualidade</x:v>
      </x:c>
      <x:c r="D7" t="str">
        <x:v>Comercial / direção</x:v>
      </x:c>
      <x:c r="E7"/>
      <x:c r="F7" t="str">
        <x:v>Pendente</x:v>
      </x:c>
      <x:c r="G7"/>
      <x:c r="H7"/>
    </x:row>
    <x:row r="8">
      <x:c r="A8" t="str">
        <x:v>Digital</x:v>
      </x:c>
      <x:c r="B8" t="str">
        <x:v>Publicar apenas itens validados</x:v>
      </x:c>
      <x:c r="C8" t="str">
        <x:v>Margem por canal e operação testada</x:v>
      </x:c>
      <x:c r="D8" t="str">
        <x:v>Comercial / produto</x:v>
      </x:c>
      <x:c r="E8"/>
      <x:c r="F8" t="str">
        <x:v>Pendente</x:v>
      </x:c>
      <x:c r="G8"/>
      <x:c r="H8"/>
    </x:row>
    <x:row r="9">
      <x:c r="A9" t="str">
        <x:v>Inauguração</x:v>
      </x:c>
      <x:c r="B9" t="str">
        <x:v>Definir função e local</x:v>
      </x:c>
      <x:c r="C9" t="str">
        <x:v>Demanda incremental, caixa e payback sob cenário adverso</x:v>
      </x:c>
      <x:c r="D9" t="str">
        <x:v>Direção / financeiro</x:v>
      </x:c>
      <x:c r="E9"/>
      <x:c r="F9" t="str">
        <x:v>Pendente</x:v>
      </x:c>
      <x:c r="G9"/>
      <x:c r="H9"/>
    </x:row>
    <x:row r="10">
      <x:c r="A10" t="str">
        <x:v>Governança</x:v>
      </x:c>
      <x:c r="B10" t="str">
        <x:v>Aprovar políticas</x:v>
      </x:c>
      <x:c r="C10" t="str">
        <x:v>Alçadas, contrato, tratamento de dados e fiscal</x:v>
      </x:c>
      <x:c r="D10" t="str">
        <x:v>Direção / jurídico</x:v>
      </x:c>
      <x:c r="E10"/>
      <x:c r="F10" t="str">
        <x:v>Pendente</x:v>
      </x:c>
      <x:c r="G10"/>
      <x:c r="H10"/>
    </x:row>
  </x:sheetData>
  <x:pageMargins left="0.7" right="0.7" top="0.75" bottom="0.75" header="0.3" footer="0.3"/>
</x:worksheet>
</file>